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icholas_magee_okstate_edu/Documents/01 Classes/Tranisient simulations of Thermal systems/Class Project/06 Test Files/"/>
    </mc:Choice>
  </mc:AlternateContent>
  <xr:revisionPtr revIDLastSave="724" documentId="8_{DAE10B44-F89C-4170-BDD7-DF2159F3D1FC}" xr6:coauthVersionLast="47" xr6:coauthVersionMax="47" xr10:uidLastSave="{A7A88DEC-AE74-4779-8E61-DCBABD48C80E}"/>
  <bookViews>
    <workbookView xWindow="-120" yWindow="-120" windowWidth="29040" windowHeight="15840" firstSheet="2" activeTab="3" xr2:uid="{EA085EDA-7F4E-4591-A842-CF7069F8342E}"/>
  </bookViews>
  <sheets>
    <sheet name="Steady State Vairable Mass Flow" sheetId="1" r:id="rId1"/>
    <sheet name="Unit Conversion" sheetId="2" r:id="rId2"/>
    <sheet name="Steady State Vairable Propertys" sheetId="3" r:id="rId3"/>
    <sheet name="Steady State TIL Pum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4" l="1"/>
  <c r="M19" i="4"/>
  <c r="M20" i="4"/>
  <c r="M21" i="4"/>
  <c r="M22" i="4"/>
  <c r="M23" i="4"/>
  <c r="M24" i="4"/>
  <c r="M25" i="4"/>
  <c r="M18" i="4"/>
  <c r="I19" i="4"/>
  <c r="I20" i="4"/>
  <c r="I21" i="4"/>
  <c r="I22" i="4"/>
  <c r="I23" i="4"/>
  <c r="I24" i="4"/>
  <c r="I25" i="4"/>
  <c r="I18" i="4"/>
  <c r="E19" i="4"/>
  <c r="E20" i="4"/>
  <c r="E21" i="4"/>
  <c r="E22" i="4"/>
  <c r="E23" i="4"/>
  <c r="E24" i="4"/>
  <c r="E25" i="4"/>
  <c r="E18" i="4"/>
  <c r="E32" i="4"/>
  <c r="E31" i="4"/>
  <c r="E30" i="4"/>
  <c r="E29" i="4"/>
  <c r="Q19" i="4"/>
  <c r="Q18" i="4"/>
  <c r="C32" i="3"/>
  <c r="C33" i="3"/>
  <c r="C34" i="3"/>
  <c r="C31" i="3"/>
  <c r="E34" i="3"/>
  <c r="E33" i="3"/>
  <c r="E32" i="3"/>
  <c r="E31" i="3"/>
  <c r="U18" i="3"/>
  <c r="U19" i="3"/>
  <c r="Q23" i="3"/>
  <c r="M25" i="3"/>
  <c r="I25" i="3"/>
  <c r="E25" i="3"/>
  <c r="M24" i="3"/>
  <c r="I24" i="3"/>
  <c r="E24" i="3"/>
  <c r="M23" i="3"/>
  <c r="I23" i="3"/>
  <c r="E23" i="3"/>
  <c r="Q22" i="3"/>
  <c r="M22" i="3"/>
  <c r="I22" i="3"/>
  <c r="E22" i="3"/>
  <c r="Q21" i="3"/>
  <c r="M21" i="3"/>
  <c r="I21" i="3"/>
  <c r="E21" i="3"/>
  <c r="Q20" i="3"/>
  <c r="M20" i="3"/>
  <c r="I20" i="3"/>
  <c r="E20" i="3"/>
  <c r="Q19" i="3"/>
  <c r="M19" i="3"/>
  <c r="I19" i="3"/>
  <c r="E19" i="3"/>
  <c r="Q18" i="3"/>
  <c r="M18" i="3"/>
  <c r="I18" i="3"/>
  <c r="E18" i="3"/>
  <c r="M38" i="1"/>
  <c r="I38" i="1"/>
  <c r="E38" i="1"/>
  <c r="M37" i="1"/>
  <c r="I37" i="1"/>
  <c r="E37" i="1"/>
  <c r="Q36" i="1"/>
  <c r="M36" i="1"/>
  <c r="I36" i="1"/>
  <c r="E36" i="1"/>
  <c r="Q35" i="1"/>
  <c r="M35" i="1"/>
  <c r="I35" i="1"/>
  <c r="E35" i="1"/>
  <c r="Q34" i="1"/>
  <c r="M34" i="1"/>
  <c r="I34" i="1"/>
  <c r="E34" i="1"/>
  <c r="Q33" i="1"/>
  <c r="M33" i="1"/>
  <c r="I33" i="1"/>
  <c r="E33" i="1"/>
  <c r="U32" i="1"/>
  <c r="Q32" i="1"/>
  <c r="M32" i="1"/>
  <c r="I32" i="1"/>
  <c r="E32" i="1"/>
  <c r="U31" i="1"/>
  <c r="Q31" i="1"/>
  <c r="M31" i="1"/>
  <c r="I31" i="1"/>
  <c r="E31" i="1"/>
  <c r="Q21" i="1"/>
  <c r="F25" i="2"/>
  <c r="F24" i="2"/>
  <c r="F23" i="2"/>
  <c r="F22" i="2"/>
  <c r="F21" i="2"/>
  <c r="F20" i="2"/>
  <c r="F19" i="2"/>
  <c r="F18" i="2"/>
  <c r="P19" i="1"/>
  <c r="P20" i="1"/>
  <c r="P21" i="1"/>
  <c r="P22" i="1"/>
  <c r="P23" i="1"/>
  <c r="O19" i="1"/>
  <c r="O20" i="1"/>
  <c r="O21" i="1"/>
  <c r="O22" i="1"/>
  <c r="O23" i="1"/>
  <c r="O18" i="1"/>
  <c r="P18" i="1"/>
  <c r="Q18" i="1" s="1"/>
  <c r="U19" i="1"/>
  <c r="U18" i="1"/>
  <c r="E7" i="2"/>
  <c r="E8" i="2"/>
  <c r="E9" i="2"/>
  <c r="E10" i="2"/>
  <c r="E11" i="2"/>
  <c r="E12" i="2"/>
  <c r="E13" i="2"/>
  <c r="E6" i="2"/>
  <c r="I23" i="1"/>
  <c r="M19" i="1"/>
  <c r="M20" i="1"/>
  <c r="M21" i="1"/>
  <c r="M22" i="1"/>
  <c r="M23" i="1"/>
  <c r="M24" i="1"/>
  <c r="M25" i="1"/>
  <c r="M18" i="1"/>
  <c r="I19" i="1"/>
  <c r="I20" i="1"/>
  <c r="I21" i="1"/>
  <c r="I22" i="1"/>
  <c r="I24" i="1"/>
  <c r="I25" i="1"/>
  <c r="I18" i="1"/>
  <c r="E19" i="1"/>
  <c r="E20" i="1"/>
  <c r="E21" i="1"/>
  <c r="E22" i="1"/>
  <c r="E23" i="1"/>
  <c r="E24" i="1"/>
  <c r="E25" i="1"/>
  <c r="E18" i="1"/>
  <c r="Q19" i="1" l="1"/>
  <c r="Q20" i="1"/>
  <c r="Q22" i="1"/>
  <c r="Q23" i="1"/>
</calcChain>
</file>

<file path=xl/sharedStrings.xml><?xml version="1.0" encoding="utf-8"?>
<sst xmlns="http://schemas.openxmlformats.org/spreadsheetml/2006/main" count="268" uniqueCount="57">
  <si>
    <t>InPuts</t>
  </si>
  <si>
    <t>Temperature</t>
  </si>
  <si>
    <t>Ambient</t>
  </si>
  <si>
    <t xml:space="preserve">Evaporator </t>
  </si>
  <si>
    <t xml:space="preserve">Generator </t>
  </si>
  <si>
    <t>Absorber</t>
  </si>
  <si>
    <t xml:space="preserve">Pump Effiecieny </t>
  </si>
  <si>
    <t>Evaporater aprouch</t>
  </si>
  <si>
    <t>Condensor Approuch</t>
  </si>
  <si>
    <t>Refrigerant Flow Rate</t>
  </si>
  <si>
    <t>Pressure</t>
  </si>
  <si>
    <t>General</t>
  </si>
  <si>
    <t>Value</t>
  </si>
  <si>
    <t>Units</t>
  </si>
  <si>
    <t>C</t>
  </si>
  <si>
    <t>k</t>
  </si>
  <si>
    <t>bar</t>
  </si>
  <si>
    <t>kg/s</t>
  </si>
  <si>
    <t>N/A</t>
  </si>
  <si>
    <t>Compairsion between dymola steady state and EES steady states</t>
  </si>
  <si>
    <t>Test</t>
  </si>
  <si>
    <t>MassFraction of Ammonina</t>
  </si>
  <si>
    <t>X_2</t>
  </si>
  <si>
    <t>X_3</t>
  </si>
  <si>
    <t>X_4</t>
  </si>
  <si>
    <t>X_5</t>
  </si>
  <si>
    <t>X_6</t>
  </si>
  <si>
    <t>X_7</t>
  </si>
  <si>
    <t>X_8</t>
  </si>
  <si>
    <t>X_1</t>
  </si>
  <si>
    <t>State</t>
  </si>
  <si>
    <t xml:space="preserve">Dymola </t>
  </si>
  <si>
    <t>EES</t>
  </si>
  <si>
    <t>% Diff</t>
  </si>
  <si>
    <t>Pressure [Bar]</t>
  </si>
  <si>
    <t xml:space="preserve">Temperature [c] </t>
  </si>
  <si>
    <t>Enthalpy [kj/kg]</t>
  </si>
  <si>
    <t>j/kg</t>
  </si>
  <si>
    <t>kj/kg</t>
  </si>
  <si>
    <t>Mixture out of Absorber</t>
  </si>
  <si>
    <t>Water out of Generator</t>
  </si>
  <si>
    <t>Mass Flow Rate [kg/s]</t>
  </si>
  <si>
    <t>Delta Enthalpy [kj/kg]</t>
  </si>
  <si>
    <t>1 - 2</t>
  </si>
  <si>
    <t>3-2</t>
  </si>
  <si>
    <t>4-3</t>
  </si>
  <si>
    <t>5-4</t>
  </si>
  <si>
    <t>6-5</t>
  </si>
  <si>
    <t>7-6</t>
  </si>
  <si>
    <t>Refrigerant mass flow rate = 0.05 kg/s</t>
  </si>
  <si>
    <t>Refrigerant mass flow rate = 10 kg/s</t>
  </si>
  <si>
    <t xml:space="preserve">Condensor </t>
  </si>
  <si>
    <t>Generator</t>
  </si>
  <si>
    <t>Heat Transfer  [Kw]</t>
  </si>
  <si>
    <t>Strong Solution</t>
  </si>
  <si>
    <t>Refigerant Flow Rate</t>
  </si>
  <si>
    <t>Return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</si>
</sst>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5" borderId="21" xfId="0" applyNumberForma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2" fontId="0" fillId="5" borderId="25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64" fontId="0" fillId="5" borderId="15" xfId="0" applyNumberForma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49" fontId="0" fillId="5" borderId="26" xfId="0" applyNumberFormat="1" applyFill="1" applyBorder="1" applyAlignment="1">
      <alignment horizontal="center" vertical="center"/>
    </xf>
    <xf numFmtId="49" fontId="0" fillId="5" borderId="17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49" fontId="0" fillId="5" borderId="11" xfId="0" applyNumberFormat="1" applyFill="1" applyBorder="1" applyAlignment="1">
      <alignment horizontal="center" vertical="center"/>
    </xf>
    <xf numFmtId="2" fontId="0" fillId="5" borderId="1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165" fontId="0" fillId="3" borderId="4" xfId="0" applyNumberFormat="1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165" fontId="0" fillId="5" borderId="4" xfId="0" applyNumberForma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8548-6111-4882-B2FE-4512035A665E}">
  <dimension ref="A2:U38"/>
  <sheetViews>
    <sheetView workbookViewId="0">
      <selection activeCell="P12" sqref="P12"/>
    </sheetView>
  </sheetViews>
  <sheetFormatPr defaultColWidth="9.140625" defaultRowHeight="15" x14ac:dyDescent="0.25"/>
  <cols>
    <col min="1" max="1" width="11.140625" style="1" customWidth="1"/>
    <col min="2" max="2" width="16.7109375" style="1" customWidth="1"/>
    <col min="3" max="3" width="8.85546875" style="1" customWidth="1"/>
    <col min="4" max="6" width="9.140625" style="1"/>
    <col min="7" max="7" width="7.5703125" style="1" bestFit="1" customWidth="1"/>
    <col min="8" max="8" width="8.28515625" style="1" bestFit="1" customWidth="1"/>
    <col min="9" max="10" width="9.140625" style="1"/>
    <col min="11" max="11" width="7.5703125" style="1" bestFit="1" customWidth="1"/>
    <col min="12" max="26" width="9.140625" style="1"/>
    <col min="27" max="27" width="13.5703125" style="1" customWidth="1"/>
    <col min="28" max="16384" width="9.140625" style="1"/>
  </cols>
  <sheetData>
    <row r="2" spans="1:21" ht="15.75" thickBot="1" x14ac:dyDescent="0.3">
      <c r="H2" s="10" t="s">
        <v>20</v>
      </c>
    </row>
    <row r="3" spans="1:21" ht="16.5" thickBot="1" x14ac:dyDescent="0.3">
      <c r="C3" s="83" t="s">
        <v>0</v>
      </c>
      <c r="D3" s="84"/>
      <c r="E3" s="59" t="s">
        <v>12</v>
      </c>
      <c r="F3" s="60" t="s">
        <v>13</v>
      </c>
      <c r="H3" s="85" t="s">
        <v>19</v>
      </c>
      <c r="I3" s="85"/>
      <c r="J3" s="85"/>
      <c r="K3" s="85"/>
      <c r="L3" s="85"/>
      <c r="M3" s="85"/>
    </row>
    <row r="4" spans="1:21" x14ac:dyDescent="0.25">
      <c r="B4" s="86" t="s">
        <v>1</v>
      </c>
      <c r="C4" s="89" t="s">
        <v>2</v>
      </c>
      <c r="D4" s="89"/>
      <c r="E4" s="3">
        <v>25</v>
      </c>
      <c r="F4" s="4" t="s">
        <v>14</v>
      </c>
      <c r="H4" s="85"/>
      <c r="I4" s="85"/>
      <c r="J4" s="85"/>
      <c r="K4" s="85"/>
      <c r="L4" s="85"/>
      <c r="M4" s="85"/>
    </row>
    <row r="5" spans="1:21" x14ac:dyDescent="0.25">
      <c r="B5" s="87"/>
      <c r="C5" s="90" t="s">
        <v>3</v>
      </c>
      <c r="D5" s="90"/>
      <c r="E5" s="2">
        <v>5</v>
      </c>
      <c r="F5" s="6" t="s">
        <v>14</v>
      </c>
    </row>
    <row r="6" spans="1:21" x14ac:dyDescent="0.25">
      <c r="B6" s="87"/>
      <c r="C6" s="90" t="s">
        <v>4</v>
      </c>
      <c r="D6" s="90"/>
      <c r="E6" s="2">
        <v>90</v>
      </c>
      <c r="F6" s="6" t="s">
        <v>14</v>
      </c>
    </row>
    <row r="7" spans="1:21" x14ac:dyDescent="0.25">
      <c r="B7" s="87"/>
      <c r="C7" s="90" t="s">
        <v>5</v>
      </c>
      <c r="D7" s="90"/>
      <c r="E7" s="2">
        <v>32</v>
      </c>
      <c r="F7" s="6" t="s">
        <v>14</v>
      </c>
    </row>
    <row r="8" spans="1:21" ht="15" customHeight="1" x14ac:dyDescent="0.25">
      <c r="B8" s="87"/>
      <c r="C8" s="90" t="s">
        <v>8</v>
      </c>
      <c r="D8" s="90"/>
      <c r="E8" s="2">
        <v>4</v>
      </c>
      <c r="F8" s="6" t="s">
        <v>15</v>
      </c>
    </row>
    <row r="9" spans="1:21" ht="15.75" thickBot="1" x14ac:dyDescent="0.3">
      <c r="B9" s="88"/>
      <c r="C9" s="90" t="s">
        <v>7</v>
      </c>
      <c r="D9" s="90"/>
      <c r="E9" s="2">
        <v>3</v>
      </c>
      <c r="F9" s="6" t="s">
        <v>15</v>
      </c>
    </row>
    <row r="10" spans="1:21" ht="27.95" customHeight="1" x14ac:dyDescent="0.25">
      <c r="B10" s="94" t="s">
        <v>10</v>
      </c>
      <c r="C10" s="90" t="s">
        <v>4</v>
      </c>
      <c r="D10" s="90"/>
      <c r="E10" s="2">
        <v>16</v>
      </c>
      <c r="F10" s="6" t="s">
        <v>16</v>
      </c>
    </row>
    <row r="11" spans="1:21" ht="15.75" thickBot="1" x14ac:dyDescent="0.3">
      <c r="B11" s="95"/>
      <c r="C11" s="90" t="s">
        <v>5</v>
      </c>
      <c r="D11" s="90"/>
      <c r="E11" s="2">
        <v>4</v>
      </c>
      <c r="F11" s="6" t="s">
        <v>16</v>
      </c>
    </row>
    <row r="12" spans="1:21" x14ac:dyDescent="0.25">
      <c r="B12" s="96" t="s">
        <v>11</v>
      </c>
      <c r="C12" s="90" t="s">
        <v>9</v>
      </c>
      <c r="D12" s="90"/>
      <c r="E12" s="2"/>
      <c r="F12" s="6" t="s">
        <v>17</v>
      </c>
    </row>
    <row r="13" spans="1:21" ht="15.75" thickBot="1" x14ac:dyDescent="0.3">
      <c r="B13" s="95"/>
      <c r="C13" s="97" t="s">
        <v>6</v>
      </c>
      <c r="D13" s="97"/>
      <c r="E13" s="8">
        <v>0.62</v>
      </c>
      <c r="F13" s="9" t="s">
        <v>18</v>
      </c>
    </row>
    <row r="15" spans="1:21" ht="15.75" thickBot="1" x14ac:dyDescent="0.3"/>
    <row r="16" spans="1:21" ht="14.45" customHeight="1" x14ac:dyDescent="0.25">
      <c r="A16" s="101" t="s">
        <v>49</v>
      </c>
      <c r="B16" s="91" t="s">
        <v>21</v>
      </c>
      <c r="C16" s="92"/>
      <c r="D16" s="92"/>
      <c r="E16" s="93"/>
      <c r="F16" s="105" t="s">
        <v>35</v>
      </c>
      <c r="G16" s="106"/>
      <c r="H16" s="106"/>
      <c r="I16" s="107"/>
      <c r="J16" s="108" t="s">
        <v>34</v>
      </c>
      <c r="K16" s="109"/>
      <c r="L16" s="109"/>
      <c r="M16" s="110"/>
      <c r="N16" s="98" t="s">
        <v>42</v>
      </c>
      <c r="O16" s="99"/>
      <c r="P16" s="99"/>
      <c r="Q16" s="100"/>
      <c r="R16" s="91" t="s">
        <v>41</v>
      </c>
      <c r="S16" s="92"/>
      <c r="T16" s="92"/>
      <c r="U16" s="93"/>
    </row>
    <row r="17" spans="1:21" ht="15.75" thickBot="1" x14ac:dyDescent="0.3">
      <c r="A17" s="102"/>
      <c r="B17" s="46" t="s">
        <v>30</v>
      </c>
      <c r="C17" s="47" t="s">
        <v>31</v>
      </c>
      <c r="D17" s="47" t="s">
        <v>32</v>
      </c>
      <c r="E17" s="48" t="s">
        <v>33</v>
      </c>
      <c r="F17" s="49" t="s">
        <v>30</v>
      </c>
      <c r="G17" s="50" t="s">
        <v>31</v>
      </c>
      <c r="H17" s="50" t="s">
        <v>32</v>
      </c>
      <c r="I17" s="51" t="s">
        <v>33</v>
      </c>
      <c r="J17" s="46" t="s">
        <v>30</v>
      </c>
      <c r="K17" s="47" t="s">
        <v>31</v>
      </c>
      <c r="L17" s="47" t="s">
        <v>32</v>
      </c>
      <c r="M17" s="48" t="s">
        <v>33</v>
      </c>
      <c r="N17" s="52" t="s">
        <v>30</v>
      </c>
      <c r="O17" s="50" t="s">
        <v>31</v>
      </c>
      <c r="P17" s="50" t="s">
        <v>32</v>
      </c>
      <c r="Q17" s="53" t="s">
        <v>33</v>
      </c>
      <c r="R17" s="15" t="s">
        <v>30</v>
      </c>
      <c r="S17" s="16" t="s">
        <v>31</v>
      </c>
      <c r="T17" s="16" t="s">
        <v>32</v>
      </c>
      <c r="U17" s="17" t="s">
        <v>33</v>
      </c>
    </row>
    <row r="18" spans="1:21" ht="60" x14ac:dyDescent="0.25">
      <c r="A18" s="102"/>
      <c r="B18" s="36" t="s">
        <v>29</v>
      </c>
      <c r="C18" s="42">
        <v>0.97791623999999999</v>
      </c>
      <c r="D18" s="37">
        <v>0.97</v>
      </c>
      <c r="E18" s="38">
        <f t="shared" ref="E18:E25" si="0">ABS((D18-C18)/(AVERAGE(C18,D18)))*100</f>
        <v>0.81279059514386709</v>
      </c>
      <c r="F18" s="39">
        <v>1</v>
      </c>
      <c r="G18" s="61">
        <v>-1.2198241999999999</v>
      </c>
      <c r="H18" s="40">
        <v>-1.282</v>
      </c>
      <c r="I18" s="41">
        <f>ABS((H18-G18)/(AVERAGE(G18,H18)))*100</f>
        <v>4.9704371714047788</v>
      </c>
      <c r="J18" s="36">
        <v>1</v>
      </c>
      <c r="K18" s="37">
        <v>4</v>
      </c>
      <c r="L18" s="42">
        <v>4</v>
      </c>
      <c r="M18" s="38">
        <f>ABS((L18-K18)/(AVERAGE(K18,L18)))*100</f>
        <v>0</v>
      </c>
      <c r="N18" s="56" t="s">
        <v>43</v>
      </c>
      <c r="O18" s="44">
        <f>'Unit Conversion'!D19-'Unit Conversion'!D18</f>
        <v>929.34456</v>
      </c>
      <c r="P18" s="40">
        <f>'Unit Conversion'!E19-'Unit Conversion'!E18</f>
        <v>959.6</v>
      </c>
      <c r="Q18" s="45">
        <f>ABS((P18-O18)/(AVERAGE(O18,P18)))*100</f>
        <v>3.2034227621799576</v>
      </c>
      <c r="R18" s="54" t="s">
        <v>40</v>
      </c>
      <c r="S18" s="19">
        <v>0.58115720000000004</v>
      </c>
      <c r="T18" s="19">
        <v>0.55459999999999998</v>
      </c>
      <c r="U18" s="38">
        <f>ABS((T18-S18)/(AVERAGE(S18,T18)))*100</f>
        <v>4.6765629132705575</v>
      </c>
    </row>
    <row r="19" spans="1:21" ht="45.75" thickBot="1" x14ac:dyDescent="0.3">
      <c r="A19" s="102"/>
      <c r="B19" s="18" t="s">
        <v>22</v>
      </c>
      <c r="C19" s="23">
        <v>0.97791623999999999</v>
      </c>
      <c r="D19" s="19">
        <v>0.97</v>
      </c>
      <c r="E19" s="20">
        <f t="shared" si="0"/>
        <v>0.81279059514386709</v>
      </c>
      <c r="F19" s="25">
        <v>2</v>
      </c>
      <c r="G19" s="62">
        <v>1.9999939</v>
      </c>
      <c r="H19" s="26">
        <v>2</v>
      </c>
      <c r="I19" s="27">
        <f t="shared" ref="I19:I25" si="1">ABS((H19-G19)/(AVERAGE(G19,H19)))*100</f>
        <v>3.0500046512615313E-4</v>
      </c>
      <c r="J19" s="18">
        <v>2</v>
      </c>
      <c r="K19" s="19">
        <v>4</v>
      </c>
      <c r="L19" s="23">
        <v>4</v>
      </c>
      <c r="M19" s="20">
        <f t="shared" ref="M19:M25" si="2">ABS((L19-K19)/(AVERAGE(K19,L19)))*100</f>
        <v>0</v>
      </c>
      <c r="N19" s="57" t="s">
        <v>44</v>
      </c>
      <c r="O19" s="44">
        <f>'Unit Conversion'!D20-'Unit Conversion'!D19</f>
        <v>411.51180000000022</v>
      </c>
      <c r="P19" s="40">
        <f>'Unit Conversion'!E20-'Unit Conversion'!E19</f>
        <v>381</v>
      </c>
      <c r="Q19" s="32">
        <f t="shared" ref="Q19:Q23" si="3">ABS((P19-O19)/(AVERAGE(O19,P19)))*100</f>
        <v>7.7000241510600125</v>
      </c>
      <c r="R19" s="55" t="s">
        <v>39</v>
      </c>
      <c r="S19" s="63">
        <v>0.63115719999999997</v>
      </c>
      <c r="T19" s="22">
        <v>0.60460000000000003</v>
      </c>
      <c r="U19" s="20">
        <f t="shared" ref="U19" si="4">ABS((T19-S19)/(AVERAGE(S19,T19)))*100</f>
        <v>4.2981258778018763</v>
      </c>
    </row>
    <row r="20" spans="1:21" x14ac:dyDescent="0.25">
      <c r="A20" s="102"/>
      <c r="B20" s="18" t="s">
        <v>23</v>
      </c>
      <c r="C20" s="23">
        <v>0.97791623999999999</v>
      </c>
      <c r="D20" s="19">
        <v>0.97</v>
      </c>
      <c r="E20" s="20">
        <f t="shared" si="0"/>
        <v>0.81279059514386709</v>
      </c>
      <c r="F20" s="25">
        <v>3</v>
      </c>
      <c r="G20" s="62">
        <v>89.999989999999997</v>
      </c>
      <c r="H20" s="26">
        <v>90</v>
      </c>
      <c r="I20" s="27">
        <f t="shared" si="1"/>
        <v>1.1111111731921915E-5</v>
      </c>
      <c r="J20" s="18">
        <v>3</v>
      </c>
      <c r="K20" s="19">
        <v>16</v>
      </c>
      <c r="L20" s="23">
        <v>16</v>
      </c>
      <c r="M20" s="20">
        <f t="shared" si="2"/>
        <v>0</v>
      </c>
      <c r="N20" s="57" t="s">
        <v>45</v>
      </c>
      <c r="O20" s="44">
        <f>'Unit Conversion'!D21-'Unit Conversion'!D20</f>
        <v>-1340.8563600000002</v>
      </c>
      <c r="P20" s="40">
        <f>'Unit Conversion'!E21-'Unit Conversion'!E20</f>
        <v>-1340.6</v>
      </c>
      <c r="Q20" s="32">
        <f t="shared" si="3"/>
        <v>1.9120952615489399E-2</v>
      </c>
    </row>
    <row r="21" spans="1:21" x14ac:dyDescent="0.25">
      <c r="A21" s="102"/>
      <c r="B21" s="18" t="s">
        <v>24</v>
      </c>
      <c r="C21" s="23">
        <v>0.97791623999999999</v>
      </c>
      <c r="D21" s="19">
        <v>0.97</v>
      </c>
      <c r="E21" s="20">
        <f t="shared" si="0"/>
        <v>0.81279059514386709</v>
      </c>
      <c r="F21" s="25">
        <v>4</v>
      </c>
      <c r="G21" s="62">
        <v>28.999994000000001</v>
      </c>
      <c r="H21" s="26">
        <v>29</v>
      </c>
      <c r="I21" s="27">
        <f t="shared" si="1"/>
        <v>2.0689657309489761E-5</v>
      </c>
      <c r="J21" s="18">
        <v>4</v>
      </c>
      <c r="K21" s="19">
        <v>16</v>
      </c>
      <c r="L21" s="23">
        <v>16</v>
      </c>
      <c r="M21" s="20">
        <f t="shared" si="2"/>
        <v>0</v>
      </c>
      <c r="N21" s="57" t="s">
        <v>46</v>
      </c>
      <c r="O21" s="44">
        <f>'Unit Conversion'!D22-'Unit Conversion'!D21</f>
        <v>-391.96535999999998</v>
      </c>
      <c r="P21" s="40">
        <f>'Unit Conversion'!E22-'Unit Conversion'!E21</f>
        <v>-217.84</v>
      </c>
      <c r="Q21" s="32">
        <f t="shared" si="3"/>
        <v>57.108504261097337</v>
      </c>
    </row>
    <row r="22" spans="1:21" ht="36.75" customHeight="1" x14ac:dyDescent="0.25">
      <c r="A22" s="102"/>
      <c r="B22" s="18" t="s">
        <v>25</v>
      </c>
      <c r="C22" s="23">
        <v>0.49579786999999997</v>
      </c>
      <c r="D22" s="19">
        <v>0.47</v>
      </c>
      <c r="E22" s="20">
        <f t="shared" si="0"/>
        <v>5.3422917571768931</v>
      </c>
      <c r="F22" s="25">
        <v>5</v>
      </c>
      <c r="G22" s="62">
        <v>31.999994000000001</v>
      </c>
      <c r="H22" s="26">
        <v>32</v>
      </c>
      <c r="I22" s="27">
        <f t="shared" si="1"/>
        <v>1.8750001754882388E-5</v>
      </c>
      <c r="J22" s="18">
        <v>5</v>
      </c>
      <c r="K22" s="19">
        <v>4</v>
      </c>
      <c r="L22" s="23">
        <v>4</v>
      </c>
      <c r="M22" s="20">
        <f t="shared" si="2"/>
        <v>0</v>
      </c>
      <c r="N22" s="57" t="s">
        <v>47</v>
      </c>
      <c r="O22" s="44">
        <f>'Unit Conversion'!D23-'Unit Conversion'!D22</f>
        <v>2.3663150000000002</v>
      </c>
      <c r="P22" s="40">
        <f>'Unit Conversion'!E23-'Unit Conversion'!E22</f>
        <v>2.3599999999999994</v>
      </c>
      <c r="Q22" s="32">
        <f t="shared" si="3"/>
        <v>0.26722721612929889</v>
      </c>
    </row>
    <row r="23" spans="1:21" ht="29.25" customHeight="1" x14ac:dyDescent="0.25">
      <c r="A23" s="102"/>
      <c r="B23" s="18" t="s">
        <v>26</v>
      </c>
      <c r="C23" s="23">
        <v>0.49579786999999997</v>
      </c>
      <c r="D23" s="19">
        <v>0.47</v>
      </c>
      <c r="E23" s="20">
        <f t="shared" si="0"/>
        <v>5.3422917571768931</v>
      </c>
      <c r="F23" s="25">
        <v>6</v>
      </c>
      <c r="G23" s="62">
        <v>32.307212999999997</v>
      </c>
      <c r="H23" s="26">
        <v>32.299999999999997</v>
      </c>
      <c r="I23" s="27">
        <f>ABS((H23-G23)/(AVERAGE(G23,H23)))*100</f>
        <v>2.2328776200267717E-2</v>
      </c>
      <c r="J23" s="18">
        <v>6</v>
      </c>
      <c r="K23" s="19">
        <v>16</v>
      </c>
      <c r="L23" s="23">
        <v>16</v>
      </c>
      <c r="M23" s="20">
        <f t="shared" si="2"/>
        <v>0</v>
      </c>
      <c r="N23" s="57" t="s">
        <v>48</v>
      </c>
      <c r="O23" s="44">
        <f>'Unit Conversion'!D24-'Unit Conversion'!D23</f>
        <v>258.56210499999997</v>
      </c>
      <c r="P23" s="40">
        <f>'Unit Conversion'!E24-'Unit Conversion'!E23</f>
        <v>263.08</v>
      </c>
      <c r="Q23" s="32">
        <f t="shared" si="3"/>
        <v>1.7321818759243028</v>
      </c>
    </row>
    <row r="24" spans="1:21" x14ac:dyDescent="0.25">
      <c r="A24" s="102"/>
      <c r="B24" s="18" t="s">
        <v>27</v>
      </c>
      <c r="C24" s="23">
        <v>0.45431870000000002</v>
      </c>
      <c r="D24" s="19">
        <v>0.46250000000000002</v>
      </c>
      <c r="E24" s="20">
        <f t="shared" si="0"/>
        <v>1.7847149060114069</v>
      </c>
      <c r="F24" s="25">
        <v>7</v>
      </c>
      <c r="G24" s="62">
        <v>89.999989999999997</v>
      </c>
      <c r="H24" s="26">
        <v>90</v>
      </c>
      <c r="I24" s="27">
        <f t="shared" si="1"/>
        <v>1.1111111731921915E-5</v>
      </c>
      <c r="J24" s="18">
        <v>7</v>
      </c>
      <c r="K24" s="19">
        <v>16</v>
      </c>
      <c r="L24" s="23">
        <v>16</v>
      </c>
      <c r="M24" s="20">
        <f t="shared" si="2"/>
        <v>0</v>
      </c>
    </row>
    <row r="25" spans="1:21" ht="15.75" thickBot="1" x14ac:dyDescent="0.3">
      <c r="A25" s="111"/>
      <c r="B25" s="21" t="s">
        <v>28</v>
      </c>
      <c r="C25" s="24">
        <v>0.45431870000000002</v>
      </c>
      <c r="D25" s="22">
        <v>0.46250000000000002</v>
      </c>
      <c r="E25" s="20">
        <f t="shared" si="0"/>
        <v>1.7847149060114069</v>
      </c>
      <c r="F25" s="28">
        <v>8</v>
      </c>
      <c r="G25" s="64">
        <v>51.488242999999997</v>
      </c>
      <c r="H25" s="29">
        <v>51.08</v>
      </c>
      <c r="I25" s="27">
        <f t="shared" si="1"/>
        <v>0.79604171439301896</v>
      </c>
      <c r="J25" s="21">
        <v>8</v>
      </c>
      <c r="K25" s="22">
        <v>4</v>
      </c>
      <c r="L25" s="24">
        <v>4</v>
      </c>
      <c r="M25" s="35">
        <f t="shared" si="2"/>
        <v>0</v>
      </c>
    </row>
    <row r="26" spans="1:21" x14ac:dyDescent="0.25">
      <c r="H26" s="14"/>
      <c r="S26" s="14"/>
    </row>
    <row r="27" spans="1:21" x14ac:dyDescent="0.25">
      <c r="H27" s="14"/>
    </row>
    <row r="28" spans="1:21" ht="15.75" thickBot="1" x14ac:dyDescent="0.3">
      <c r="H28" s="14"/>
    </row>
    <row r="29" spans="1:21" ht="43.5" customHeight="1" x14ac:dyDescent="0.25">
      <c r="A29" s="101" t="s">
        <v>50</v>
      </c>
      <c r="B29" s="91" t="s">
        <v>21</v>
      </c>
      <c r="C29" s="92"/>
      <c r="D29" s="92"/>
      <c r="E29" s="93"/>
      <c r="F29" s="105" t="s">
        <v>35</v>
      </c>
      <c r="G29" s="106"/>
      <c r="H29" s="106"/>
      <c r="I29" s="107"/>
      <c r="J29" s="108" t="s">
        <v>34</v>
      </c>
      <c r="K29" s="109"/>
      <c r="L29" s="109"/>
      <c r="M29" s="110"/>
      <c r="N29" s="98" t="s">
        <v>42</v>
      </c>
      <c r="O29" s="99"/>
      <c r="P29" s="99"/>
      <c r="Q29" s="100"/>
      <c r="R29" s="91" t="s">
        <v>41</v>
      </c>
      <c r="S29" s="92"/>
      <c r="T29" s="92"/>
      <c r="U29" s="93"/>
    </row>
    <row r="30" spans="1:21" ht="15.75" thickBot="1" x14ac:dyDescent="0.3">
      <c r="A30" s="102"/>
      <c r="B30" s="46" t="s">
        <v>30</v>
      </c>
      <c r="C30" s="47" t="s">
        <v>31</v>
      </c>
      <c r="D30" s="47" t="s">
        <v>32</v>
      </c>
      <c r="E30" s="48" t="s">
        <v>33</v>
      </c>
      <c r="F30" s="49" t="s">
        <v>30</v>
      </c>
      <c r="G30" s="50" t="s">
        <v>31</v>
      </c>
      <c r="H30" s="50" t="s">
        <v>32</v>
      </c>
      <c r="I30" s="51" t="s">
        <v>33</v>
      </c>
      <c r="J30" s="46" t="s">
        <v>30</v>
      </c>
      <c r="K30" s="47" t="s">
        <v>31</v>
      </c>
      <c r="L30" s="47" t="s">
        <v>32</v>
      </c>
      <c r="M30" s="48" t="s">
        <v>33</v>
      </c>
      <c r="N30" s="52" t="s">
        <v>30</v>
      </c>
      <c r="O30" s="50" t="s">
        <v>31</v>
      </c>
      <c r="P30" s="50" t="s">
        <v>32</v>
      </c>
      <c r="Q30" s="53" t="s">
        <v>33</v>
      </c>
      <c r="R30" s="46" t="s">
        <v>30</v>
      </c>
      <c r="S30" s="47" t="s">
        <v>31</v>
      </c>
      <c r="T30" s="47" t="s">
        <v>32</v>
      </c>
      <c r="U30" s="48" t="s">
        <v>33</v>
      </c>
    </row>
    <row r="31" spans="1:21" ht="60" x14ac:dyDescent="0.25">
      <c r="A31" s="103"/>
      <c r="B31" s="65" t="s">
        <v>29</v>
      </c>
      <c r="C31" s="66">
        <v>0.97791623999999999</v>
      </c>
      <c r="D31" s="67">
        <v>0.97860000000000003</v>
      </c>
      <c r="E31" s="66">
        <f t="shared" ref="E31:E38" si="5">ABS((D31-C31)/(AVERAGE(C31,D31)))*100</f>
        <v>6.9895663120080539E-2</v>
      </c>
      <c r="F31" s="68">
        <v>1</v>
      </c>
      <c r="G31" s="68">
        <v>-1.2198241999999999</v>
      </c>
      <c r="H31" s="68">
        <v>-1.282</v>
      </c>
      <c r="I31" s="69">
        <f>ABS((H31-G31)/(AVERAGE(G31,H31)))*100</f>
        <v>4.9704371714047788</v>
      </c>
      <c r="J31" s="67">
        <v>1</v>
      </c>
      <c r="K31" s="67">
        <v>4</v>
      </c>
      <c r="L31" s="66">
        <v>4</v>
      </c>
      <c r="M31" s="70">
        <f>ABS((L31-K31)/(AVERAGE(K31,L31)))*100</f>
        <v>0</v>
      </c>
      <c r="N31" s="72" t="s">
        <v>43</v>
      </c>
      <c r="O31" s="73"/>
      <c r="P31" s="68"/>
      <c r="Q31" s="74" t="e">
        <f>ABS((P31-O31)/(AVERAGE(O31,P31)))*100</f>
        <v>#DIV/0!</v>
      </c>
      <c r="R31" s="78" t="s">
        <v>40</v>
      </c>
      <c r="S31" s="67">
        <v>116.23144499999999</v>
      </c>
      <c r="T31" s="67">
        <v>110.9</v>
      </c>
      <c r="U31" s="70">
        <f>ABS((T31-S31)/(AVERAGE(S31,T31)))*100</f>
        <v>4.6945899542883538</v>
      </c>
    </row>
    <row r="32" spans="1:21" ht="45.75" thickBot="1" x14ac:dyDescent="0.3">
      <c r="A32" s="103"/>
      <c r="B32" s="18" t="s">
        <v>22</v>
      </c>
      <c r="C32" s="23">
        <v>0.97791623999999999</v>
      </c>
      <c r="D32" s="19">
        <v>0.97860000000000003</v>
      </c>
      <c r="E32" s="23">
        <f t="shared" si="5"/>
        <v>6.9895663120080539E-2</v>
      </c>
      <c r="F32" s="26">
        <v>2</v>
      </c>
      <c r="G32" s="26">
        <v>1.9999939</v>
      </c>
      <c r="H32" s="26">
        <v>2</v>
      </c>
      <c r="I32" s="62">
        <f t="shared" ref="I32:I35" si="6">ABS((H32-G32)/(AVERAGE(G32,H32)))*100</f>
        <v>3.0500046512615313E-4</v>
      </c>
      <c r="J32" s="19">
        <v>2</v>
      </c>
      <c r="K32" s="19">
        <v>4</v>
      </c>
      <c r="L32" s="23">
        <v>4</v>
      </c>
      <c r="M32" s="20">
        <f t="shared" ref="M32:M38" si="7">ABS((L32-K32)/(AVERAGE(K32,L32)))*100</f>
        <v>0</v>
      </c>
      <c r="N32" s="75" t="s">
        <v>44</v>
      </c>
      <c r="O32" s="31"/>
      <c r="P32" s="26"/>
      <c r="Q32" s="32" t="e">
        <f t="shared" ref="Q32:Q36" si="8">ABS((P32-O32)/(AVERAGE(O32,P32)))*100</f>
        <v>#DIV/0!</v>
      </c>
      <c r="R32" s="55" t="s">
        <v>39</v>
      </c>
      <c r="S32" s="22">
        <v>126.23144499999999</v>
      </c>
      <c r="T32" s="22">
        <v>120.9</v>
      </c>
      <c r="U32" s="35">
        <f t="shared" ref="U32" si="9">ABS((T32-S32)/(AVERAGE(S32,T32)))*100</f>
        <v>4.314663397043617</v>
      </c>
    </row>
    <row r="33" spans="1:17" x14ac:dyDescent="0.25">
      <c r="A33" s="103"/>
      <c r="B33" s="18" t="s">
        <v>23</v>
      </c>
      <c r="C33" s="23">
        <v>0.97791623999999999</v>
      </c>
      <c r="D33" s="19">
        <v>0.97860000000000003</v>
      </c>
      <c r="E33" s="23">
        <f t="shared" si="5"/>
        <v>6.9895663120080539E-2</v>
      </c>
      <c r="F33" s="26">
        <v>3</v>
      </c>
      <c r="G33" s="26">
        <v>89.999989999999997</v>
      </c>
      <c r="H33" s="26">
        <v>90</v>
      </c>
      <c r="I33" s="62">
        <f t="shared" si="6"/>
        <v>1.1111111731921915E-5</v>
      </c>
      <c r="J33" s="19">
        <v>3</v>
      </c>
      <c r="K33" s="19">
        <v>16</v>
      </c>
      <c r="L33" s="23">
        <v>16</v>
      </c>
      <c r="M33" s="20">
        <f t="shared" si="7"/>
        <v>0</v>
      </c>
      <c r="N33" s="75" t="s">
        <v>45</v>
      </c>
      <c r="O33" s="31"/>
      <c r="P33" s="26"/>
      <c r="Q33" s="32" t="e">
        <f t="shared" si="8"/>
        <v>#DIV/0!</v>
      </c>
    </row>
    <row r="34" spans="1:17" x14ac:dyDescent="0.25">
      <c r="A34" s="103"/>
      <c r="B34" s="18" t="s">
        <v>24</v>
      </c>
      <c r="C34" s="23">
        <v>0.97791623999999999</v>
      </c>
      <c r="D34" s="19">
        <v>0.97860000000000003</v>
      </c>
      <c r="E34" s="23">
        <f t="shared" si="5"/>
        <v>6.9895663120080539E-2</v>
      </c>
      <c r="F34" s="26">
        <v>4</v>
      </c>
      <c r="G34" s="26">
        <v>28.999994000000001</v>
      </c>
      <c r="H34" s="26">
        <v>29</v>
      </c>
      <c r="I34" s="62">
        <f t="shared" si="6"/>
        <v>2.0689657309489761E-5</v>
      </c>
      <c r="J34" s="19">
        <v>4</v>
      </c>
      <c r="K34" s="19">
        <v>16</v>
      </c>
      <c r="L34" s="23">
        <v>16</v>
      </c>
      <c r="M34" s="20">
        <f t="shared" si="7"/>
        <v>0</v>
      </c>
      <c r="N34" s="75" t="s">
        <v>46</v>
      </c>
      <c r="O34" s="31"/>
      <c r="P34" s="26"/>
      <c r="Q34" s="32" t="e">
        <f t="shared" si="8"/>
        <v>#DIV/0!</v>
      </c>
    </row>
    <row r="35" spans="1:17" x14ac:dyDescent="0.25">
      <c r="A35" s="103"/>
      <c r="B35" s="18" t="s">
        <v>25</v>
      </c>
      <c r="C35" s="23">
        <v>0.49579786999999997</v>
      </c>
      <c r="D35" s="19">
        <v>0.50519999999999998</v>
      </c>
      <c r="E35" s="23">
        <f t="shared" si="5"/>
        <v>1.8785514498647251</v>
      </c>
      <c r="F35" s="26">
        <v>5</v>
      </c>
      <c r="G35" s="26">
        <v>31.999994000000001</v>
      </c>
      <c r="H35" s="26">
        <v>32</v>
      </c>
      <c r="I35" s="62">
        <f t="shared" si="6"/>
        <v>1.8750001754882388E-5</v>
      </c>
      <c r="J35" s="19">
        <v>5</v>
      </c>
      <c r="K35" s="19">
        <v>4</v>
      </c>
      <c r="L35" s="23">
        <v>4</v>
      </c>
      <c r="M35" s="20">
        <f t="shared" si="7"/>
        <v>0</v>
      </c>
      <c r="N35" s="75" t="s">
        <v>47</v>
      </c>
      <c r="O35" s="31"/>
      <c r="P35" s="26"/>
      <c r="Q35" s="32" t="e">
        <f t="shared" si="8"/>
        <v>#DIV/0!</v>
      </c>
    </row>
    <row r="36" spans="1:17" ht="15.75" thickBot="1" x14ac:dyDescent="0.3">
      <c r="A36" s="103"/>
      <c r="B36" s="18" t="s">
        <v>26</v>
      </c>
      <c r="C36" s="23">
        <v>0.49579786999999997</v>
      </c>
      <c r="D36" s="19">
        <v>0.50519999999999998</v>
      </c>
      <c r="E36" s="23">
        <f t="shared" si="5"/>
        <v>1.8785514498647251</v>
      </c>
      <c r="F36" s="26">
        <v>6</v>
      </c>
      <c r="G36" s="26">
        <v>32.307212999999997</v>
      </c>
      <c r="H36" s="26">
        <v>32.299999999999997</v>
      </c>
      <c r="I36" s="62">
        <f>ABS((H36-G36)/(AVERAGE(G36,H36)))*100</f>
        <v>2.2328776200267717E-2</v>
      </c>
      <c r="J36" s="19">
        <v>6</v>
      </c>
      <c r="K36" s="19">
        <v>16</v>
      </c>
      <c r="L36" s="23">
        <v>16</v>
      </c>
      <c r="M36" s="20">
        <f t="shared" si="7"/>
        <v>0</v>
      </c>
      <c r="N36" s="76" t="s">
        <v>48</v>
      </c>
      <c r="O36" s="34"/>
      <c r="P36" s="29"/>
      <c r="Q36" s="77" t="e">
        <f t="shared" si="8"/>
        <v>#DIV/0!</v>
      </c>
    </row>
    <row r="37" spans="1:17" x14ac:dyDescent="0.25">
      <c r="A37" s="103"/>
      <c r="B37" s="18" t="s">
        <v>27</v>
      </c>
      <c r="C37" s="23">
        <v>0.45431870000000002</v>
      </c>
      <c r="D37" s="19">
        <v>0.46250000000000002</v>
      </c>
      <c r="E37" s="23">
        <f t="shared" si="5"/>
        <v>1.7847149060114069</v>
      </c>
      <c r="F37" s="26">
        <v>7</v>
      </c>
      <c r="G37" s="26">
        <v>89.999989999999997</v>
      </c>
      <c r="H37" s="26">
        <v>90</v>
      </c>
      <c r="I37" s="62">
        <f t="shared" ref="I37:I38" si="10">ABS((H37-G37)/(AVERAGE(G37,H37)))*100</f>
        <v>1.1111111731921915E-5</v>
      </c>
      <c r="J37" s="19">
        <v>7</v>
      </c>
      <c r="K37" s="19">
        <v>16</v>
      </c>
      <c r="L37" s="23">
        <v>16</v>
      </c>
      <c r="M37" s="20">
        <f t="shared" si="7"/>
        <v>0</v>
      </c>
    </row>
    <row r="38" spans="1:17" ht="15.75" thickBot="1" x14ac:dyDescent="0.3">
      <c r="A38" s="104"/>
      <c r="B38" s="21" t="s">
        <v>28</v>
      </c>
      <c r="C38" s="24">
        <v>0.45431870000000002</v>
      </c>
      <c r="D38" s="22">
        <v>0.46250000000000002</v>
      </c>
      <c r="E38" s="24">
        <f t="shared" si="5"/>
        <v>1.7847149060114069</v>
      </c>
      <c r="F38" s="29">
        <v>8</v>
      </c>
      <c r="G38" s="29">
        <v>51.488242999999997</v>
      </c>
      <c r="H38" s="29">
        <v>51.08</v>
      </c>
      <c r="I38" s="64">
        <f t="shared" si="10"/>
        <v>0.79604171439301896</v>
      </c>
      <c r="J38" s="22">
        <v>8</v>
      </c>
      <c r="K38" s="22">
        <v>4</v>
      </c>
      <c r="L38" s="24">
        <v>4</v>
      </c>
      <c r="M38" s="35">
        <f t="shared" si="7"/>
        <v>0</v>
      </c>
    </row>
  </sheetData>
  <mergeCells count="27">
    <mergeCell ref="B29:E29"/>
    <mergeCell ref="F29:I29"/>
    <mergeCell ref="J29:M29"/>
    <mergeCell ref="R29:U29"/>
    <mergeCell ref="A16:A25"/>
    <mergeCell ref="A29:A38"/>
    <mergeCell ref="N29:Q29"/>
    <mergeCell ref="R16:U16"/>
    <mergeCell ref="B16:E16"/>
    <mergeCell ref="F16:I16"/>
    <mergeCell ref="J16:M16"/>
    <mergeCell ref="N16:Q16"/>
    <mergeCell ref="B4:B9"/>
    <mergeCell ref="B12:B13"/>
    <mergeCell ref="B10:B11"/>
    <mergeCell ref="H3:M4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3:D3"/>
  </mergeCells>
  <phoneticPr fontId="4" type="noConversion"/>
  <conditionalFormatting sqref="E18:E25">
    <cfRule type="cellIs" dxfId="80" priority="37" operator="equal">
      <formula>10</formula>
    </cfRule>
    <cfRule type="cellIs" dxfId="79" priority="38" operator="lessThan">
      <formula>10</formula>
    </cfRule>
    <cfRule type="cellIs" dxfId="78" priority="39" operator="greaterThan">
      <formula>10</formula>
    </cfRule>
  </conditionalFormatting>
  <conditionalFormatting sqref="E31:E38">
    <cfRule type="cellIs" dxfId="77" priority="13" operator="equal">
      <formula>10</formula>
    </cfRule>
    <cfRule type="cellIs" dxfId="76" priority="14" operator="lessThan">
      <formula>10</formula>
    </cfRule>
    <cfRule type="cellIs" dxfId="75" priority="15" operator="greaterThan">
      <formula>10</formula>
    </cfRule>
  </conditionalFormatting>
  <conditionalFormatting sqref="I18:I25">
    <cfRule type="cellIs" dxfId="74" priority="34" operator="equal">
      <formula>10</formula>
    </cfRule>
    <cfRule type="cellIs" dxfId="73" priority="35" operator="lessThan">
      <formula>10</formula>
    </cfRule>
    <cfRule type="cellIs" dxfId="72" priority="36" operator="greaterThan">
      <formula>10</formula>
    </cfRule>
  </conditionalFormatting>
  <conditionalFormatting sqref="I31:I38">
    <cfRule type="cellIs" dxfId="71" priority="10" operator="equal">
      <formula>10</formula>
    </cfRule>
    <cfRule type="cellIs" dxfId="70" priority="11" operator="lessThan">
      <formula>10</formula>
    </cfRule>
    <cfRule type="cellIs" dxfId="69" priority="12" operator="greaterThan">
      <formula>10</formula>
    </cfRule>
  </conditionalFormatting>
  <conditionalFormatting sqref="M18:M25">
    <cfRule type="cellIs" dxfId="68" priority="25" operator="equal">
      <formula>10</formula>
    </cfRule>
    <cfRule type="cellIs" dxfId="67" priority="26" operator="lessThan">
      <formula>10</formula>
    </cfRule>
    <cfRule type="cellIs" dxfId="66" priority="27" operator="greaterThan">
      <formula>10</formula>
    </cfRule>
  </conditionalFormatting>
  <conditionalFormatting sqref="M31:M38">
    <cfRule type="cellIs" dxfId="65" priority="7" operator="equal">
      <formula>10</formula>
    </cfRule>
    <cfRule type="cellIs" dxfId="64" priority="8" operator="lessThan">
      <formula>10</formula>
    </cfRule>
    <cfRule type="cellIs" dxfId="63" priority="9" operator="greaterThan">
      <formula>10</formula>
    </cfRule>
  </conditionalFormatting>
  <conditionalFormatting sqref="Q18:Q23">
    <cfRule type="cellIs" dxfId="62" priority="16" operator="equal">
      <formula>10</formula>
    </cfRule>
    <cfRule type="cellIs" dxfId="61" priority="17" operator="lessThan">
      <formula>10</formula>
    </cfRule>
    <cfRule type="cellIs" dxfId="60" priority="18" operator="greaterThan">
      <formula>10</formula>
    </cfRule>
  </conditionalFormatting>
  <conditionalFormatting sqref="Q31:Q36">
    <cfRule type="cellIs" dxfId="59" priority="1" operator="equal">
      <formula>10</formula>
    </cfRule>
    <cfRule type="cellIs" dxfId="58" priority="2" operator="lessThan">
      <formula>10</formula>
    </cfRule>
    <cfRule type="cellIs" dxfId="57" priority="3" operator="greaterThan">
      <formula>10</formula>
    </cfRule>
  </conditionalFormatting>
  <conditionalFormatting sqref="U18:U19">
    <cfRule type="cellIs" dxfId="56" priority="22" operator="equal">
      <formula>10</formula>
    </cfRule>
    <cfRule type="cellIs" dxfId="55" priority="23" operator="lessThan">
      <formula>10</formula>
    </cfRule>
    <cfRule type="cellIs" dxfId="54" priority="24" operator="greaterThan">
      <formula>10</formula>
    </cfRule>
  </conditionalFormatting>
  <conditionalFormatting sqref="U31:U32">
    <cfRule type="cellIs" dxfId="53" priority="4" operator="equal">
      <formula>10</formula>
    </cfRule>
    <cfRule type="cellIs" dxfId="52" priority="5" operator="lessThan">
      <formula>10</formula>
    </cfRule>
    <cfRule type="cellIs" dxfId="51" priority="6" operator="greater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DCD8-57D6-474D-AF5C-B4ADC560B968}">
  <dimension ref="C3:F32"/>
  <sheetViews>
    <sheetView workbookViewId="0">
      <selection activeCell="E29" sqref="E29"/>
    </sheetView>
  </sheetViews>
  <sheetFormatPr defaultRowHeight="15" x14ac:dyDescent="0.25"/>
  <cols>
    <col min="4" max="4" width="13" customWidth="1"/>
    <col min="5" max="5" width="13.42578125" customWidth="1"/>
  </cols>
  <sheetData>
    <row r="3" spans="3:6" ht="15.75" thickBot="1" x14ac:dyDescent="0.3"/>
    <row r="4" spans="3:6" x14ac:dyDescent="0.25">
      <c r="C4" s="112" t="s">
        <v>36</v>
      </c>
      <c r="D4" s="113"/>
      <c r="E4" s="113"/>
      <c r="F4" s="114"/>
    </row>
    <row r="5" spans="3:6" x14ac:dyDescent="0.25">
      <c r="C5" s="12" t="s">
        <v>30</v>
      </c>
      <c r="D5" s="11" t="s">
        <v>37</v>
      </c>
      <c r="E5" s="11" t="s">
        <v>38</v>
      </c>
      <c r="F5" s="13"/>
    </row>
    <row r="6" spans="3:6" x14ac:dyDescent="0.25">
      <c r="C6" s="5">
        <v>1</v>
      </c>
      <c r="D6">
        <v>454629.44</v>
      </c>
      <c r="E6" s="2">
        <f>D6/1000</f>
        <v>454.62943999999999</v>
      </c>
      <c r="F6" s="6"/>
    </row>
    <row r="7" spans="3:6" x14ac:dyDescent="0.25">
      <c r="C7" s="5">
        <v>2</v>
      </c>
      <c r="D7">
        <v>1383974</v>
      </c>
      <c r="E7" s="2">
        <f t="shared" ref="E7:E13" si="0">D7/1000</f>
        <v>1383.9739999999999</v>
      </c>
      <c r="F7" s="6"/>
    </row>
    <row r="8" spans="3:6" x14ac:dyDescent="0.25">
      <c r="C8" s="5">
        <v>3</v>
      </c>
      <c r="D8">
        <v>1795485.8</v>
      </c>
      <c r="E8" s="2">
        <f t="shared" si="0"/>
        <v>1795.4858000000002</v>
      </c>
      <c r="F8" s="6"/>
    </row>
    <row r="9" spans="3:6" x14ac:dyDescent="0.25">
      <c r="C9" s="5">
        <v>4</v>
      </c>
      <c r="D9">
        <v>454629.44</v>
      </c>
      <c r="E9" s="2">
        <f t="shared" si="0"/>
        <v>454.62943999999999</v>
      </c>
      <c r="F9" s="6"/>
    </row>
    <row r="10" spans="3:6" x14ac:dyDescent="0.25">
      <c r="C10" s="5">
        <v>5</v>
      </c>
      <c r="D10">
        <v>62664.08</v>
      </c>
      <c r="E10" s="2">
        <f t="shared" si="0"/>
        <v>62.664079999999998</v>
      </c>
      <c r="F10" s="6"/>
    </row>
    <row r="11" spans="3:6" x14ac:dyDescent="0.25">
      <c r="C11" s="5">
        <v>6</v>
      </c>
      <c r="D11">
        <v>65030.394999999997</v>
      </c>
      <c r="E11" s="2">
        <f t="shared" si="0"/>
        <v>65.030394999999999</v>
      </c>
      <c r="F11" s="6"/>
    </row>
    <row r="12" spans="3:6" x14ac:dyDescent="0.25">
      <c r="C12" s="5">
        <v>7</v>
      </c>
      <c r="D12">
        <v>323592.5</v>
      </c>
      <c r="E12" s="2">
        <f t="shared" si="0"/>
        <v>323.59249999999997</v>
      </c>
      <c r="F12" s="6"/>
    </row>
    <row r="13" spans="3:6" ht="15.75" thickBot="1" x14ac:dyDescent="0.3">
      <c r="C13" s="7">
        <v>8</v>
      </c>
      <c r="D13">
        <v>323592.5</v>
      </c>
      <c r="E13" s="2">
        <f t="shared" si="0"/>
        <v>323.59249999999997</v>
      </c>
      <c r="F13" s="6"/>
    </row>
    <row r="15" spans="3:6" ht="15.75" thickBot="1" x14ac:dyDescent="0.3"/>
    <row r="16" spans="3:6" x14ac:dyDescent="0.25">
      <c r="C16" s="115" t="s">
        <v>36</v>
      </c>
      <c r="D16" s="116"/>
      <c r="E16" s="116"/>
      <c r="F16" s="117"/>
    </row>
    <row r="17" spans="3:6" ht="15.75" thickBot="1" x14ac:dyDescent="0.3">
      <c r="C17" s="52" t="s">
        <v>30</v>
      </c>
      <c r="D17" s="50" t="s">
        <v>31</v>
      </c>
      <c r="E17" s="50" t="s">
        <v>32</v>
      </c>
      <c r="F17" s="53" t="s">
        <v>33</v>
      </c>
    </row>
    <row r="18" spans="3:6" x14ac:dyDescent="0.25">
      <c r="C18" s="43">
        <v>1</v>
      </c>
      <c r="D18" s="44">
        <v>454.62943999999999</v>
      </c>
      <c r="E18" s="40">
        <v>121.4</v>
      </c>
      <c r="F18" s="45">
        <f t="shared" ref="F18:F25" si="1">ABS((E18-D18)/(AVERAGE(D18,E18)))*100</f>
        <v>115.69875317483771</v>
      </c>
    </row>
    <row r="19" spans="3:6" x14ac:dyDescent="0.25">
      <c r="C19" s="30">
        <v>2</v>
      </c>
      <c r="D19" s="31">
        <v>1383.9739999999999</v>
      </c>
      <c r="E19" s="26">
        <v>1081</v>
      </c>
      <c r="F19" s="32">
        <f t="shared" si="1"/>
        <v>24.582328251738144</v>
      </c>
    </row>
    <row r="20" spans="3:6" x14ac:dyDescent="0.25">
      <c r="C20" s="30">
        <v>3</v>
      </c>
      <c r="D20" s="31">
        <v>1795.4858000000002</v>
      </c>
      <c r="E20" s="26">
        <v>1462</v>
      </c>
      <c r="F20" s="32">
        <f t="shared" si="1"/>
        <v>20.475042439171958</v>
      </c>
    </row>
    <row r="21" spans="3:6" x14ac:dyDescent="0.25">
      <c r="C21" s="30">
        <v>4</v>
      </c>
      <c r="D21" s="31">
        <v>454.62943999999999</v>
      </c>
      <c r="E21" s="26">
        <v>121.4</v>
      </c>
      <c r="F21" s="32">
        <f t="shared" si="1"/>
        <v>115.69875317483771</v>
      </c>
    </row>
    <row r="22" spans="3:6" x14ac:dyDescent="0.25">
      <c r="C22" s="30">
        <v>5</v>
      </c>
      <c r="D22" s="31">
        <v>62.664079999999998</v>
      </c>
      <c r="E22" s="26">
        <v>-96.44</v>
      </c>
      <c r="F22" s="32">
        <f t="shared" si="1"/>
        <v>942.11544792858354</v>
      </c>
    </row>
    <row r="23" spans="3:6" x14ac:dyDescent="0.25">
      <c r="C23" s="30">
        <v>6</v>
      </c>
      <c r="D23" s="31">
        <v>65.030394999999999</v>
      </c>
      <c r="E23" s="26">
        <v>-94.08</v>
      </c>
      <c r="F23" s="32">
        <f t="shared" si="1"/>
        <v>1095.4393011540087</v>
      </c>
    </row>
    <row r="24" spans="3:6" x14ac:dyDescent="0.25">
      <c r="C24" s="30">
        <v>7</v>
      </c>
      <c r="D24" s="31">
        <v>323.59249999999997</v>
      </c>
      <c r="E24" s="26">
        <v>169</v>
      </c>
      <c r="F24" s="32">
        <f t="shared" si="1"/>
        <v>62.766891497535994</v>
      </c>
    </row>
    <row r="25" spans="3:6" ht="15.75" thickBot="1" x14ac:dyDescent="0.3">
      <c r="C25" s="33">
        <v>8</v>
      </c>
      <c r="D25" s="34">
        <v>323.59249999999997</v>
      </c>
      <c r="E25" s="29">
        <v>169</v>
      </c>
      <c r="F25" s="32">
        <f t="shared" si="1"/>
        <v>62.766891497535994</v>
      </c>
    </row>
    <row r="29" spans="3:6" x14ac:dyDescent="0.25">
      <c r="D29">
        <v>74729.554999999993</v>
      </c>
    </row>
    <row r="30" spans="3:6" x14ac:dyDescent="0.25">
      <c r="D30">
        <v>-6409.8374000000003</v>
      </c>
    </row>
    <row r="31" spans="3:6" x14ac:dyDescent="0.25">
      <c r="D31">
        <v>21374.993999999999</v>
      </c>
    </row>
    <row r="32" spans="3:6" x14ac:dyDescent="0.25">
      <c r="D32">
        <v>102233.92</v>
      </c>
    </row>
  </sheetData>
  <mergeCells count="2">
    <mergeCell ref="C4:F4"/>
    <mergeCell ref="C16:F16"/>
  </mergeCells>
  <conditionalFormatting sqref="F18:F25">
    <cfRule type="cellIs" dxfId="50" priority="1" operator="equal">
      <formula>10</formula>
    </cfRule>
    <cfRule type="cellIs" dxfId="49" priority="2" operator="lessThan">
      <formula>10</formula>
    </cfRule>
    <cfRule type="cellIs" dxfId="48" priority="3" operator="greaterThan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969F-8E3A-41FC-B2A8-08CF1B27AAE8}">
  <dimension ref="A2:U38"/>
  <sheetViews>
    <sheetView topLeftCell="A2" zoomScale="115" zoomScaleNormal="115" workbookViewId="0">
      <selection activeCell="I55" sqref="I55"/>
    </sheetView>
  </sheetViews>
  <sheetFormatPr defaultColWidth="9.140625" defaultRowHeight="15" x14ac:dyDescent="0.25"/>
  <cols>
    <col min="1" max="1" width="11.140625" style="1" customWidth="1"/>
    <col min="2" max="2" width="16.7109375" style="1" customWidth="1"/>
    <col min="3" max="3" width="8.85546875" style="1" customWidth="1"/>
    <col min="4" max="6" width="9.140625" style="1"/>
    <col min="7" max="7" width="7.5703125" style="1" bestFit="1" customWidth="1"/>
    <col min="8" max="8" width="8.28515625" style="1" bestFit="1" customWidth="1"/>
    <col min="9" max="9" width="10.5703125" style="1" bestFit="1" customWidth="1"/>
    <col min="10" max="10" width="9.140625" style="1"/>
    <col min="11" max="11" width="8.42578125" style="1" bestFit="1" customWidth="1"/>
    <col min="12" max="17" width="9.140625" style="1"/>
    <col min="18" max="18" width="13.7109375" style="1" customWidth="1"/>
    <col min="19" max="20" width="9.140625" style="1"/>
    <col min="21" max="21" width="5.85546875" style="1" bestFit="1" customWidth="1"/>
    <col min="22" max="26" width="9.140625" style="1"/>
    <col min="27" max="27" width="13.5703125" style="1" customWidth="1"/>
    <col min="28" max="16384" width="9.140625" style="1"/>
  </cols>
  <sheetData>
    <row r="2" spans="1:21" ht="15.75" thickBot="1" x14ac:dyDescent="0.3">
      <c r="H2" s="10" t="s">
        <v>20</v>
      </c>
    </row>
    <row r="3" spans="1:21" ht="16.5" thickBot="1" x14ac:dyDescent="0.3">
      <c r="C3" s="83" t="s">
        <v>0</v>
      </c>
      <c r="D3" s="84"/>
      <c r="E3" s="59" t="s">
        <v>12</v>
      </c>
      <c r="F3" s="60" t="s">
        <v>13</v>
      </c>
      <c r="H3" s="85" t="s">
        <v>19</v>
      </c>
      <c r="I3" s="85"/>
      <c r="J3" s="85"/>
      <c r="K3" s="85"/>
      <c r="L3" s="85"/>
      <c r="M3" s="85"/>
    </row>
    <row r="4" spans="1:21" x14ac:dyDescent="0.25">
      <c r="B4" s="86" t="s">
        <v>1</v>
      </c>
      <c r="C4" s="89" t="s">
        <v>2</v>
      </c>
      <c r="D4" s="89"/>
      <c r="E4" s="3">
        <v>25</v>
      </c>
      <c r="F4" s="4" t="s">
        <v>14</v>
      </c>
      <c r="H4" s="85"/>
      <c r="I4" s="85"/>
      <c r="J4" s="85"/>
      <c r="K4" s="85"/>
      <c r="L4" s="85"/>
      <c r="M4" s="85"/>
    </row>
    <row r="5" spans="1:21" x14ac:dyDescent="0.25">
      <c r="B5" s="87"/>
      <c r="C5" s="90" t="s">
        <v>3</v>
      </c>
      <c r="D5" s="90"/>
      <c r="E5" s="2">
        <v>5</v>
      </c>
      <c r="F5" s="6" t="s">
        <v>14</v>
      </c>
    </row>
    <row r="6" spans="1:21" x14ac:dyDescent="0.25">
      <c r="B6" s="87"/>
      <c r="C6" s="90" t="s">
        <v>4</v>
      </c>
      <c r="D6" s="90"/>
      <c r="E6" s="2">
        <v>90</v>
      </c>
      <c r="F6" s="6" t="s">
        <v>14</v>
      </c>
    </row>
    <row r="7" spans="1:21" x14ac:dyDescent="0.25">
      <c r="B7" s="87"/>
      <c r="C7" s="90" t="s">
        <v>5</v>
      </c>
      <c r="D7" s="90"/>
      <c r="E7" s="2">
        <v>32</v>
      </c>
      <c r="F7" s="6" t="s">
        <v>14</v>
      </c>
    </row>
    <row r="8" spans="1:21" ht="15" customHeight="1" x14ac:dyDescent="0.25">
      <c r="B8" s="87"/>
      <c r="C8" s="90" t="s">
        <v>8</v>
      </c>
      <c r="D8" s="90"/>
      <c r="E8" s="2">
        <v>4</v>
      </c>
      <c r="F8" s="6" t="s">
        <v>15</v>
      </c>
    </row>
    <row r="9" spans="1:21" ht="15.75" thickBot="1" x14ac:dyDescent="0.3">
      <c r="B9" s="88"/>
      <c r="C9" s="90" t="s">
        <v>7</v>
      </c>
      <c r="D9" s="90"/>
      <c r="E9" s="2">
        <v>3</v>
      </c>
      <c r="F9" s="6" t="s">
        <v>15</v>
      </c>
    </row>
    <row r="10" spans="1:21" ht="27.95" customHeight="1" x14ac:dyDescent="0.25">
      <c r="B10" s="94" t="s">
        <v>10</v>
      </c>
      <c r="C10" s="90" t="s">
        <v>4</v>
      </c>
      <c r="D10" s="90"/>
      <c r="E10" s="2">
        <v>16</v>
      </c>
      <c r="F10" s="6" t="s">
        <v>16</v>
      </c>
    </row>
    <row r="11" spans="1:21" ht="15.75" thickBot="1" x14ac:dyDescent="0.3">
      <c r="B11" s="95"/>
      <c r="C11" s="90" t="s">
        <v>5</v>
      </c>
      <c r="D11" s="90"/>
      <c r="E11" s="2">
        <v>4</v>
      </c>
      <c r="F11" s="6" t="s">
        <v>16</v>
      </c>
    </row>
    <row r="12" spans="1:21" x14ac:dyDescent="0.25">
      <c r="B12" s="96" t="s">
        <v>11</v>
      </c>
      <c r="C12" s="90" t="s">
        <v>9</v>
      </c>
      <c r="D12" s="90"/>
      <c r="E12" s="2"/>
      <c r="F12" s="6" t="s">
        <v>17</v>
      </c>
    </row>
    <row r="13" spans="1:21" ht="15.75" thickBot="1" x14ac:dyDescent="0.3">
      <c r="B13" s="95"/>
      <c r="C13" s="97" t="s">
        <v>6</v>
      </c>
      <c r="D13" s="97"/>
      <c r="E13" s="8">
        <v>0.62</v>
      </c>
      <c r="F13" s="9" t="s">
        <v>18</v>
      </c>
    </row>
    <row r="15" spans="1:21" ht="15.75" thickBot="1" x14ac:dyDescent="0.3"/>
    <row r="16" spans="1:21" ht="14.45" customHeight="1" x14ac:dyDescent="0.25">
      <c r="A16" s="101" t="s">
        <v>49</v>
      </c>
      <c r="B16" s="91" t="s">
        <v>21</v>
      </c>
      <c r="C16" s="92"/>
      <c r="D16" s="92"/>
      <c r="E16" s="93"/>
      <c r="F16" s="105" t="s">
        <v>35</v>
      </c>
      <c r="G16" s="106"/>
      <c r="H16" s="106"/>
      <c r="I16" s="107"/>
      <c r="J16" s="108" t="s">
        <v>34</v>
      </c>
      <c r="K16" s="109"/>
      <c r="L16" s="109"/>
      <c r="M16" s="110"/>
      <c r="N16" s="98" t="s">
        <v>42</v>
      </c>
      <c r="O16" s="99"/>
      <c r="P16" s="99"/>
      <c r="Q16" s="100"/>
      <c r="R16" s="91" t="s">
        <v>41</v>
      </c>
      <c r="S16" s="92"/>
      <c r="T16" s="92"/>
      <c r="U16" s="93"/>
    </row>
    <row r="17" spans="1:21" ht="15.75" thickBot="1" x14ac:dyDescent="0.3">
      <c r="A17" s="102"/>
      <c r="B17" s="46" t="s">
        <v>30</v>
      </c>
      <c r="C17" s="47" t="s">
        <v>31</v>
      </c>
      <c r="D17" s="47" t="s">
        <v>32</v>
      </c>
      <c r="E17" s="48" t="s">
        <v>33</v>
      </c>
      <c r="F17" s="49" t="s">
        <v>30</v>
      </c>
      <c r="G17" s="50" t="s">
        <v>31</v>
      </c>
      <c r="H17" s="50" t="s">
        <v>32</v>
      </c>
      <c r="I17" s="51" t="s">
        <v>33</v>
      </c>
      <c r="J17" s="46" t="s">
        <v>30</v>
      </c>
      <c r="K17" s="47" t="s">
        <v>31</v>
      </c>
      <c r="L17" s="47" t="s">
        <v>32</v>
      </c>
      <c r="M17" s="48" t="s">
        <v>33</v>
      </c>
      <c r="N17" s="52" t="s">
        <v>30</v>
      </c>
      <c r="O17" s="50" t="s">
        <v>31</v>
      </c>
      <c r="P17" s="50" t="s">
        <v>32</v>
      </c>
      <c r="Q17" s="53" t="s">
        <v>33</v>
      </c>
      <c r="R17" s="46" t="s">
        <v>30</v>
      </c>
      <c r="S17" s="47" t="s">
        <v>31</v>
      </c>
      <c r="T17" s="47" t="s">
        <v>32</v>
      </c>
      <c r="U17" s="48" t="s">
        <v>33</v>
      </c>
    </row>
    <row r="18" spans="1:21" ht="30" x14ac:dyDescent="0.25">
      <c r="A18" s="103"/>
      <c r="B18" s="37" t="s">
        <v>29</v>
      </c>
      <c r="C18" s="82">
        <v>0.93039749999999999</v>
      </c>
      <c r="D18" s="37">
        <v>0.93300000000000005</v>
      </c>
      <c r="E18" s="42">
        <f t="shared" ref="E18:E25" si="0">ABS((D18-C18)/(AVERAGE(C18,D18)))*100</f>
        <v>0.27932848466310201</v>
      </c>
      <c r="F18" s="40">
        <v>1</v>
      </c>
      <c r="G18" s="40">
        <v>11.515528</v>
      </c>
      <c r="H18" s="40">
        <v>11.21</v>
      </c>
      <c r="I18" s="61">
        <f>ABS((H18-G18)/(AVERAGE(G18,H18)))*100</f>
        <v>2.6888528178531113</v>
      </c>
      <c r="J18" s="37">
        <v>1</v>
      </c>
      <c r="K18" s="82">
        <v>6</v>
      </c>
      <c r="L18" s="42">
        <v>6</v>
      </c>
      <c r="M18" s="42">
        <f>ABS((L18-K18)/(AVERAGE(K18,L18)))*100</f>
        <v>0</v>
      </c>
      <c r="N18" s="56" t="s">
        <v>43</v>
      </c>
      <c r="O18" s="44"/>
      <c r="P18" s="40"/>
      <c r="Q18" s="61" t="e">
        <f>ABS((P18-O18)/(AVERAGE(O18,P18)))*100</f>
        <v>#DIV/0!</v>
      </c>
      <c r="R18" s="71" t="s">
        <v>40</v>
      </c>
      <c r="S18" s="79">
        <v>4.4072664999999997E-2</v>
      </c>
      <c r="T18" s="37">
        <v>5.4199999999999998E-2</v>
      </c>
      <c r="U18" s="38">
        <f>ABS((T18-S18)/(AVERAGE(S18,T18)))*100</f>
        <v>20.610685585864598</v>
      </c>
    </row>
    <row r="19" spans="1:21" ht="30.75" thickBot="1" x14ac:dyDescent="0.3">
      <c r="A19" s="103"/>
      <c r="B19" s="19" t="s">
        <v>22</v>
      </c>
      <c r="C19" s="81">
        <v>0.93039749999999999</v>
      </c>
      <c r="D19" s="19">
        <v>0.93300000000000005</v>
      </c>
      <c r="E19" s="23">
        <f t="shared" si="0"/>
        <v>0.27932848466310201</v>
      </c>
      <c r="F19" s="26">
        <v>2</v>
      </c>
      <c r="G19" s="26">
        <v>1.9999939</v>
      </c>
      <c r="H19" s="26">
        <v>2</v>
      </c>
      <c r="I19" s="62">
        <f t="shared" ref="I19:I25" si="1">ABS((H19-G19)/(AVERAGE(G19,H19)))*100</f>
        <v>3.0500046512615313E-4</v>
      </c>
      <c r="J19" s="19">
        <v>2</v>
      </c>
      <c r="K19" s="81">
        <v>6</v>
      </c>
      <c r="L19" s="23">
        <v>6</v>
      </c>
      <c r="M19" s="23">
        <f t="shared" ref="M19:M25" si="2">ABS((L19-K19)/(AVERAGE(K19,L19)))*100</f>
        <v>0</v>
      </c>
      <c r="N19" s="57" t="s">
        <v>44</v>
      </c>
      <c r="O19" s="31"/>
      <c r="P19" s="26"/>
      <c r="Q19" s="62" t="e">
        <f t="shared" ref="Q19:Q23" si="3">ABS((P19-O19)/(AVERAGE(O19,P19)))*100</f>
        <v>#DIV/0!</v>
      </c>
      <c r="R19" s="80" t="s">
        <v>39</v>
      </c>
      <c r="S19" s="79">
        <v>9.4072660000000002E-2</v>
      </c>
      <c r="T19" s="22">
        <v>9.5258999999999996E-2</v>
      </c>
      <c r="U19" s="20">
        <f>ABS((T19-S19)/(AVERAGE(S19,T19)))*100</f>
        <v>1.2531871320411958</v>
      </c>
    </row>
    <row r="20" spans="1:21" x14ac:dyDescent="0.25">
      <c r="A20" s="103"/>
      <c r="B20" s="19" t="s">
        <v>23</v>
      </c>
      <c r="C20" s="81">
        <v>0.93039749999999999</v>
      </c>
      <c r="D20" s="19">
        <v>0.93300000000000005</v>
      </c>
      <c r="E20" s="23">
        <f t="shared" si="0"/>
        <v>0.27932848466310201</v>
      </c>
      <c r="F20" s="26">
        <v>3</v>
      </c>
      <c r="G20" s="26">
        <v>119.99999</v>
      </c>
      <c r="H20" s="26">
        <v>120</v>
      </c>
      <c r="I20" s="62">
        <f t="shared" si="1"/>
        <v>8.3333336832006839E-6</v>
      </c>
      <c r="J20" s="19">
        <v>3</v>
      </c>
      <c r="K20" s="81">
        <v>20</v>
      </c>
      <c r="L20" s="23">
        <v>20</v>
      </c>
      <c r="M20" s="23">
        <f t="shared" si="2"/>
        <v>0</v>
      </c>
      <c r="N20" s="57" t="s">
        <v>45</v>
      </c>
      <c r="O20" s="31"/>
      <c r="P20" s="26"/>
      <c r="Q20" s="62" t="e">
        <f t="shared" si="3"/>
        <v>#DIV/0!</v>
      </c>
    </row>
    <row r="21" spans="1:21" x14ac:dyDescent="0.25">
      <c r="A21" s="103"/>
      <c r="B21" s="19" t="s">
        <v>24</v>
      </c>
      <c r="C21" s="81">
        <v>0.93039749999999999</v>
      </c>
      <c r="D21" s="19">
        <v>0.93300000000000005</v>
      </c>
      <c r="E21" s="23">
        <f t="shared" si="0"/>
        <v>0.27932848466310201</v>
      </c>
      <c r="F21" s="26">
        <v>4</v>
      </c>
      <c r="G21" s="26">
        <v>28.999994000000001</v>
      </c>
      <c r="H21" s="26">
        <v>29</v>
      </c>
      <c r="I21" s="62">
        <f t="shared" si="1"/>
        <v>2.0689657309489761E-5</v>
      </c>
      <c r="J21" s="19">
        <v>4</v>
      </c>
      <c r="K21" s="81">
        <v>20</v>
      </c>
      <c r="L21" s="23">
        <v>20</v>
      </c>
      <c r="M21" s="23">
        <f t="shared" si="2"/>
        <v>0</v>
      </c>
      <c r="N21" s="57" t="s">
        <v>46</v>
      </c>
      <c r="O21" s="31"/>
      <c r="P21" s="26"/>
      <c r="Q21" s="62" t="e">
        <f t="shared" si="3"/>
        <v>#DIV/0!</v>
      </c>
    </row>
    <row r="22" spans="1:21" ht="36.75" customHeight="1" x14ac:dyDescent="0.25">
      <c r="A22" s="103"/>
      <c r="B22" s="19" t="s">
        <v>25</v>
      </c>
      <c r="C22" s="81">
        <v>0.66342144999999997</v>
      </c>
      <c r="D22" s="19">
        <v>0.66459999999999997</v>
      </c>
      <c r="E22" s="23">
        <f t="shared" si="0"/>
        <v>0.17748960304820383</v>
      </c>
      <c r="F22" s="26">
        <v>5</v>
      </c>
      <c r="G22" s="26">
        <v>24.999994000000001</v>
      </c>
      <c r="H22" s="26">
        <v>25</v>
      </c>
      <c r="I22" s="62">
        <f t="shared" si="1"/>
        <v>2.400000287624959E-5</v>
      </c>
      <c r="J22" s="19">
        <v>5</v>
      </c>
      <c r="K22" s="81">
        <v>6</v>
      </c>
      <c r="L22" s="23">
        <v>6</v>
      </c>
      <c r="M22" s="23">
        <f t="shared" si="2"/>
        <v>0</v>
      </c>
      <c r="N22" s="57" t="s">
        <v>47</v>
      </c>
      <c r="O22" s="31"/>
      <c r="P22" s="26"/>
      <c r="Q22" s="62" t="e">
        <f t="shared" si="3"/>
        <v>#DIV/0!</v>
      </c>
    </row>
    <row r="23" spans="1:21" ht="29.25" customHeight="1" x14ac:dyDescent="0.25">
      <c r="A23" s="103"/>
      <c r="B23" s="19" t="s">
        <v>26</v>
      </c>
      <c r="C23" s="81">
        <v>0.66342144999999997</v>
      </c>
      <c r="D23" s="19">
        <v>0.66459999999999997</v>
      </c>
      <c r="E23" s="23">
        <f t="shared" si="0"/>
        <v>0.17748960304820383</v>
      </c>
      <c r="F23" s="26">
        <v>6</v>
      </c>
      <c r="G23" s="26">
        <v>25.410608</v>
      </c>
      <c r="H23" s="26">
        <v>25.4</v>
      </c>
      <c r="I23" s="62">
        <f>ABS((H23-G23)/(AVERAGE(G23,H23)))*100</f>
        <v>4.1755060281905239E-2</v>
      </c>
      <c r="J23" s="19">
        <v>6</v>
      </c>
      <c r="K23" s="81">
        <v>20</v>
      </c>
      <c r="L23" s="23">
        <v>20</v>
      </c>
      <c r="M23" s="23">
        <f t="shared" si="2"/>
        <v>0</v>
      </c>
      <c r="N23" s="57" t="s">
        <v>48</v>
      </c>
      <c r="O23" s="31"/>
      <c r="P23" s="26"/>
      <c r="Q23" s="62" t="e">
        <f t="shared" si="3"/>
        <v>#DIV/0!</v>
      </c>
    </row>
    <row r="24" spans="1:21" x14ac:dyDescent="0.25">
      <c r="A24" s="103"/>
      <c r="B24" s="19" t="s">
        <v>27</v>
      </c>
      <c r="C24" s="81">
        <v>0.36053973</v>
      </c>
      <c r="D24" s="19">
        <v>0.36840000000000001</v>
      </c>
      <c r="E24" s="23">
        <f t="shared" si="0"/>
        <v>2.1566309741410312</v>
      </c>
      <c r="F24" s="26">
        <v>7</v>
      </c>
      <c r="G24" s="26">
        <v>119.99999</v>
      </c>
      <c r="H24" s="26">
        <v>120</v>
      </c>
      <c r="I24" s="62">
        <f t="shared" si="1"/>
        <v>8.3333336832006839E-6</v>
      </c>
      <c r="J24" s="19">
        <v>7</v>
      </c>
      <c r="K24" s="81">
        <v>20</v>
      </c>
      <c r="L24" s="23">
        <v>20</v>
      </c>
      <c r="M24" s="23">
        <f t="shared" si="2"/>
        <v>0</v>
      </c>
    </row>
    <row r="25" spans="1:21" ht="15.75" thickBot="1" x14ac:dyDescent="0.3">
      <c r="A25" s="104"/>
      <c r="B25" s="19" t="s">
        <v>28</v>
      </c>
      <c r="C25" s="81">
        <v>0.36053973</v>
      </c>
      <c r="D25" s="19">
        <v>0.36840000000000001</v>
      </c>
      <c r="E25" s="23">
        <f t="shared" si="0"/>
        <v>2.1566309741410312</v>
      </c>
      <c r="F25" s="26">
        <v>8</v>
      </c>
      <c r="G25" s="26">
        <v>84.130454999999998</v>
      </c>
      <c r="H25" s="26">
        <v>83.61</v>
      </c>
      <c r="I25" s="62">
        <f t="shared" si="1"/>
        <v>0.62054797693257524</v>
      </c>
      <c r="J25" s="19">
        <v>8</v>
      </c>
      <c r="K25" s="81">
        <v>6</v>
      </c>
      <c r="L25" s="23">
        <v>6</v>
      </c>
      <c r="M25" s="23">
        <f t="shared" si="2"/>
        <v>0</v>
      </c>
    </row>
    <row r="26" spans="1:21" x14ac:dyDescent="0.25">
      <c r="H26" s="14"/>
      <c r="S26" s="14"/>
    </row>
    <row r="27" spans="1:21" x14ac:dyDescent="0.25">
      <c r="H27" s="14"/>
    </row>
    <row r="28" spans="1:21" ht="15.75" thickBot="1" x14ac:dyDescent="0.3"/>
    <row r="29" spans="1:21" x14ac:dyDescent="0.25">
      <c r="A29" s="58"/>
      <c r="B29" s="91" t="s">
        <v>53</v>
      </c>
      <c r="C29" s="92"/>
      <c r="D29" s="92"/>
      <c r="E29" s="93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spans="1:21" ht="15.75" thickBot="1" x14ac:dyDescent="0.3">
      <c r="A30" s="58"/>
      <c r="B30" s="46" t="s">
        <v>30</v>
      </c>
      <c r="C30" s="47" t="s">
        <v>31</v>
      </c>
      <c r="D30" s="47" t="s">
        <v>32</v>
      </c>
      <c r="E30" s="48" t="s">
        <v>33</v>
      </c>
    </row>
    <row r="31" spans="1:21" x14ac:dyDescent="0.25">
      <c r="A31" s="58"/>
      <c r="B31" s="37" t="s">
        <v>51</v>
      </c>
      <c r="C31" s="82">
        <f>'Unit Conversion'!D29/1000</f>
        <v>74.729554999999991</v>
      </c>
      <c r="D31" s="37">
        <v>74.400000000000006</v>
      </c>
      <c r="E31" s="42">
        <f>ABS((D31-C31)/(AVERAGE(C31,D31)))*100</f>
        <v>0.44197141203832468</v>
      </c>
    </row>
    <row r="32" spans="1:21" x14ac:dyDescent="0.25">
      <c r="A32" s="58"/>
      <c r="B32" s="19" t="s">
        <v>3</v>
      </c>
      <c r="C32" s="82">
        <f>'Unit Conversion'!D30/1000</f>
        <v>-6.4098374000000007</v>
      </c>
      <c r="D32" s="19">
        <v>-6.38</v>
      </c>
      <c r="E32" s="23">
        <f>ABS((D32-C32)/(AVERAGE(C32,D32)))*100</f>
        <v>0.46657981750418176</v>
      </c>
    </row>
    <row r="33" spans="1:5" x14ac:dyDescent="0.25">
      <c r="A33" s="58"/>
      <c r="B33" s="19" t="s">
        <v>5</v>
      </c>
      <c r="C33" s="82">
        <f>'Unit Conversion'!D31/1000</f>
        <v>21.374993999999997</v>
      </c>
      <c r="D33" s="19">
        <v>21.49</v>
      </c>
      <c r="E33" s="23">
        <f>ABS((D33-C33)/(AVERAGE(C33,D33)))*100</f>
        <v>0.53659636578976799</v>
      </c>
    </row>
    <row r="34" spans="1:5" x14ac:dyDescent="0.25">
      <c r="A34" s="58"/>
      <c r="B34" s="19" t="s">
        <v>52</v>
      </c>
      <c r="C34" s="82">
        <f>'Unit Conversion'!D32/1000</f>
        <v>102.23392</v>
      </c>
      <c r="D34" s="19">
        <v>102</v>
      </c>
      <c r="E34" s="23">
        <f>ABS((D34-C34)/(AVERAGE(C34,D34)))*100</f>
        <v>0.22907066563673423</v>
      </c>
    </row>
    <row r="35" spans="1:5" x14ac:dyDescent="0.25">
      <c r="A35" s="58"/>
      <c r="B35"/>
      <c r="C35"/>
      <c r="D35"/>
      <c r="E35"/>
    </row>
    <row r="36" spans="1:5" x14ac:dyDescent="0.25">
      <c r="A36" s="58"/>
      <c r="B36"/>
      <c r="C36"/>
      <c r="D36"/>
      <c r="E36"/>
    </row>
    <row r="37" spans="1:5" x14ac:dyDescent="0.25">
      <c r="A37" s="58"/>
      <c r="B37"/>
      <c r="C37"/>
      <c r="D37"/>
      <c r="E37"/>
    </row>
    <row r="38" spans="1:5" x14ac:dyDescent="0.25">
      <c r="A38" s="58"/>
      <c r="B38"/>
      <c r="C38"/>
      <c r="D38"/>
      <c r="E38"/>
    </row>
  </sheetData>
  <mergeCells count="22">
    <mergeCell ref="A16:A25"/>
    <mergeCell ref="B16:E16"/>
    <mergeCell ref="F16:I16"/>
    <mergeCell ref="J16:M16"/>
    <mergeCell ref="R16:U16"/>
    <mergeCell ref="B29:E29"/>
    <mergeCell ref="B10:B11"/>
    <mergeCell ref="C10:D10"/>
    <mergeCell ref="C11:D11"/>
    <mergeCell ref="B12:B13"/>
    <mergeCell ref="C12:D12"/>
    <mergeCell ref="C13:D13"/>
    <mergeCell ref="N16:Q16"/>
    <mergeCell ref="C3:D3"/>
    <mergeCell ref="H3:M4"/>
    <mergeCell ref="B4:B9"/>
    <mergeCell ref="C4:D4"/>
    <mergeCell ref="C5:D5"/>
    <mergeCell ref="C6:D6"/>
    <mergeCell ref="C7:D7"/>
    <mergeCell ref="C8:D8"/>
    <mergeCell ref="C9:D9"/>
  </mergeCells>
  <conditionalFormatting sqref="E18:E25">
    <cfRule type="cellIs" dxfId="47" priority="31" operator="equal">
      <formula>10</formula>
    </cfRule>
    <cfRule type="cellIs" dxfId="46" priority="32" operator="lessThan">
      <formula>10</formula>
    </cfRule>
    <cfRule type="cellIs" dxfId="45" priority="33" operator="greaterThan">
      <formula>10</formula>
    </cfRule>
  </conditionalFormatting>
  <conditionalFormatting sqref="E31:E34">
    <cfRule type="cellIs" dxfId="44" priority="1" operator="equal">
      <formula>10</formula>
    </cfRule>
    <cfRule type="cellIs" dxfId="43" priority="2" operator="lessThan">
      <formula>10</formula>
    </cfRule>
    <cfRule type="cellIs" dxfId="42" priority="3" operator="greaterThan">
      <formula>10</formula>
    </cfRule>
  </conditionalFormatting>
  <conditionalFormatting sqref="I18:I25">
    <cfRule type="cellIs" dxfId="41" priority="28" operator="equal">
      <formula>10</formula>
    </cfRule>
    <cfRule type="cellIs" dxfId="40" priority="29" operator="lessThan">
      <formula>10</formula>
    </cfRule>
    <cfRule type="cellIs" dxfId="39" priority="30" operator="greaterThan">
      <formula>10</formula>
    </cfRule>
  </conditionalFormatting>
  <conditionalFormatting sqref="M18:M25">
    <cfRule type="cellIs" dxfId="38" priority="25" operator="equal">
      <formula>10</formula>
    </cfRule>
    <cfRule type="cellIs" dxfId="37" priority="26" operator="lessThan">
      <formula>10</formula>
    </cfRule>
    <cfRule type="cellIs" dxfId="36" priority="27" operator="greaterThan">
      <formula>10</formula>
    </cfRule>
  </conditionalFormatting>
  <conditionalFormatting sqref="Q18:Q23">
    <cfRule type="cellIs" dxfId="35" priority="19" operator="equal">
      <formula>10</formula>
    </cfRule>
    <cfRule type="cellIs" dxfId="34" priority="20" operator="lessThan">
      <formula>10</formula>
    </cfRule>
    <cfRule type="cellIs" dxfId="33" priority="21" operator="greaterThan">
      <formula>10</formula>
    </cfRule>
  </conditionalFormatting>
  <conditionalFormatting sqref="U18:U19">
    <cfRule type="cellIs" dxfId="32" priority="22" operator="equal">
      <formula>10</formula>
    </cfRule>
    <cfRule type="cellIs" dxfId="31" priority="23" operator="lessThan">
      <formula>10</formula>
    </cfRule>
    <cfRule type="cellIs" dxfId="30" priority="24" operator="greaterThan">
      <formula>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9CD3-13BB-456E-85BF-A6055F3FB8CF}">
  <dimension ref="A2:S32"/>
  <sheetViews>
    <sheetView tabSelected="1" topLeftCell="A3" workbookViewId="0">
      <selection activeCell="J25" sqref="J25"/>
    </sheetView>
  </sheetViews>
  <sheetFormatPr defaultRowHeight="15" x14ac:dyDescent="0.25"/>
  <cols>
    <col min="1" max="1" width="9.140625" style="1"/>
    <col min="2" max="2" width="11" style="1" bestFit="1" customWidth="1"/>
    <col min="3" max="3" width="9.140625" style="1"/>
    <col min="4" max="4" width="16.28515625" style="1" customWidth="1"/>
    <col min="5" max="13" width="9.140625" style="1"/>
    <col min="14" max="14" width="11.28515625" style="1" customWidth="1"/>
    <col min="15" max="16384" width="9.140625" style="1"/>
  </cols>
  <sheetData>
    <row r="2" spans="1:17" ht="15.75" thickBot="1" x14ac:dyDescent="0.3">
      <c r="H2" s="10" t="s">
        <v>20</v>
      </c>
    </row>
    <row r="3" spans="1:17" ht="16.5" thickBot="1" x14ac:dyDescent="0.3">
      <c r="C3" s="83" t="s">
        <v>0</v>
      </c>
      <c r="D3" s="84"/>
      <c r="E3" s="59" t="s">
        <v>12</v>
      </c>
      <c r="F3" s="60" t="s">
        <v>13</v>
      </c>
      <c r="H3" s="85" t="s">
        <v>19</v>
      </c>
      <c r="I3" s="85"/>
      <c r="J3" s="85"/>
      <c r="K3" s="85"/>
      <c r="L3" s="85"/>
      <c r="M3" s="85"/>
    </row>
    <row r="4" spans="1:17" x14ac:dyDescent="0.25">
      <c r="B4" s="86" t="s">
        <v>1</v>
      </c>
      <c r="C4" s="89" t="s">
        <v>2</v>
      </c>
      <c r="D4" s="89"/>
      <c r="E4" s="3">
        <v>25</v>
      </c>
      <c r="F4" s="4" t="s">
        <v>14</v>
      </c>
      <c r="H4" s="85"/>
      <c r="I4" s="85"/>
      <c r="J4" s="85"/>
      <c r="K4" s="85"/>
      <c r="L4" s="85"/>
      <c r="M4" s="85"/>
    </row>
    <row r="5" spans="1:17" x14ac:dyDescent="0.25">
      <c r="B5" s="87"/>
      <c r="C5" s="90" t="s">
        <v>3</v>
      </c>
      <c r="D5" s="90"/>
      <c r="E5" s="2">
        <v>5</v>
      </c>
      <c r="F5" s="6" t="s">
        <v>14</v>
      </c>
    </row>
    <row r="6" spans="1:17" x14ac:dyDescent="0.25">
      <c r="B6" s="87"/>
      <c r="C6" s="90" t="s">
        <v>4</v>
      </c>
      <c r="D6" s="90"/>
      <c r="E6" s="2">
        <v>90</v>
      </c>
      <c r="F6" s="6" t="s">
        <v>14</v>
      </c>
    </row>
    <row r="7" spans="1:17" x14ac:dyDescent="0.25">
      <c r="B7" s="87"/>
      <c r="C7" s="90" t="s">
        <v>5</v>
      </c>
      <c r="D7" s="90"/>
      <c r="E7" s="2">
        <v>32</v>
      </c>
      <c r="F7" s="6" t="s">
        <v>14</v>
      </c>
    </row>
    <row r="8" spans="1:17" x14ac:dyDescent="0.25">
      <c r="B8" s="87"/>
      <c r="C8" s="90" t="s">
        <v>8</v>
      </c>
      <c r="D8" s="90"/>
      <c r="E8" s="2">
        <v>4</v>
      </c>
      <c r="F8" s="6" t="s">
        <v>15</v>
      </c>
    </row>
    <row r="9" spans="1:17" ht="15.75" thickBot="1" x14ac:dyDescent="0.3">
      <c r="B9" s="88"/>
      <c r="C9" s="90" t="s">
        <v>7</v>
      </c>
      <c r="D9" s="90"/>
      <c r="E9" s="2">
        <v>3</v>
      </c>
      <c r="F9" s="6" t="s">
        <v>15</v>
      </c>
    </row>
    <row r="10" spans="1:17" x14ac:dyDescent="0.25">
      <c r="B10" s="94" t="s">
        <v>10</v>
      </c>
      <c r="C10" s="90" t="s">
        <v>4</v>
      </c>
      <c r="D10" s="90"/>
      <c r="E10" s="2">
        <v>16</v>
      </c>
      <c r="F10" s="6" t="s">
        <v>16</v>
      </c>
    </row>
    <row r="11" spans="1:17" ht="15.75" thickBot="1" x14ac:dyDescent="0.3">
      <c r="B11" s="95"/>
      <c r="C11" s="90" t="s">
        <v>5</v>
      </c>
      <c r="D11" s="90"/>
      <c r="E11" s="2">
        <v>4</v>
      </c>
      <c r="F11" s="6" t="s">
        <v>16</v>
      </c>
    </row>
    <row r="12" spans="1:17" x14ac:dyDescent="0.25">
      <c r="B12" s="96" t="s">
        <v>11</v>
      </c>
      <c r="C12" s="118" t="s">
        <v>54</v>
      </c>
      <c r="D12" s="118"/>
      <c r="E12" s="2">
        <v>0.60460000000000003</v>
      </c>
      <c r="F12" s="6" t="s">
        <v>17</v>
      </c>
    </row>
    <row r="13" spans="1:17" ht="15.75" thickBot="1" x14ac:dyDescent="0.3">
      <c r="B13" s="95"/>
      <c r="C13" s="97" t="s">
        <v>6</v>
      </c>
      <c r="D13" s="97"/>
      <c r="E13" s="8">
        <v>0.62</v>
      </c>
      <c r="F13" s="9" t="s">
        <v>18</v>
      </c>
    </row>
    <row r="15" spans="1:17" ht="15.75" thickBot="1" x14ac:dyDescent="0.3"/>
    <row r="16" spans="1:17" x14ac:dyDescent="0.25">
      <c r="A16" s="101" t="s">
        <v>49</v>
      </c>
      <c r="B16" s="91" t="s">
        <v>21</v>
      </c>
      <c r="C16" s="92"/>
      <c r="D16" s="92"/>
      <c r="E16" s="93"/>
      <c r="F16" s="105" t="s">
        <v>35</v>
      </c>
      <c r="G16" s="106"/>
      <c r="H16" s="106"/>
      <c r="I16" s="107"/>
      <c r="J16" s="108" t="s">
        <v>34</v>
      </c>
      <c r="K16" s="109"/>
      <c r="L16" s="109"/>
      <c r="M16" s="110"/>
      <c r="N16" s="105" t="s">
        <v>41</v>
      </c>
      <c r="O16" s="106"/>
      <c r="P16" s="106"/>
      <c r="Q16" s="127"/>
    </row>
    <row r="17" spans="1:19" x14ac:dyDescent="0.25">
      <c r="A17" s="102"/>
      <c r="B17" s="120" t="s">
        <v>30</v>
      </c>
      <c r="C17" s="119" t="s">
        <v>31</v>
      </c>
      <c r="D17" s="119" t="s">
        <v>32</v>
      </c>
      <c r="E17" s="121" t="s">
        <v>33</v>
      </c>
      <c r="F17" s="122" t="s">
        <v>30</v>
      </c>
      <c r="G17" s="123" t="s">
        <v>31</v>
      </c>
      <c r="H17" s="123" t="s">
        <v>32</v>
      </c>
      <c r="I17" s="124" t="s">
        <v>33</v>
      </c>
      <c r="J17" s="120" t="s">
        <v>30</v>
      </c>
      <c r="K17" s="119" t="s">
        <v>31</v>
      </c>
      <c r="L17" s="119" t="s">
        <v>32</v>
      </c>
      <c r="M17" s="121" t="s">
        <v>33</v>
      </c>
      <c r="N17" s="122" t="s">
        <v>30</v>
      </c>
      <c r="O17" s="123" t="s">
        <v>31</v>
      </c>
      <c r="P17" s="123" t="s">
        <v>32</v>
      </c>
      <c r="Q17" s="128" t="s">
        <v>33</v>
      </c>
    </row>
    <row r="18" spans="1:19" ht="45" customHeight="1" x14ac:dyDescent="0.25">
      <c r="A18" s="103"/>
      <c r="B18" s="19" t="s">
        <v>29</v>
      </c>
      <c r="C18" s="19">
        <v>0.97471410000000003</v>
      </c>
      <c r="D18" s="19">
        <v>0.97860000000000003</v>
      </c>
      <c r="E18" s="23">
        <f>ABS((D18-C18)/(AVERAGE(C18,D18)))*100</f>
        <v>0.39787763780540958</v>
      </c>
      <c r="F18" s="26">
        <v>1</v>
      </c>
      <c r="G18" s="26">
        <v>-1.0622313999999999</v>
      </c>
      <c r="H18" s="26">
        <v>-1.27</v>
      </c>
      <c r="I18" s="23">
        <f>ABS((H18-G18)/(AVERAGE(G18,H18)))*100</f>
        <v>17.817151419880556</v>
      </c>
      <c r="J18" s="19">
        <v>1</v>
      </c>
      <c r="K18" s="19">
        <v>4.0094295000000004</v>
      </c>
      <c r="L18" s="23">
        <v>4</v>
      </c>
      <c r="M18" s="23">
        <f>ABS((L18-K18)/(AVERAGE(K18,L18)))*100</f>
        <v>0.23545996628100474</v>
      </c>
      <c r="N18" s="125" t="s">
        <v>55</v>
      </c>
      <c r="O18" s="26">
        <v>4.7146929999999997E-2</v>
      </c>
      <c r="P18" s="26">
        <v>4.9619999999999997E-2</v>
      </c>
      <c r="Q18" s="23">
        <f>ABS((P18-O18)/(AVERAGE(O18,P18)))*100</f>
        <v>5.1113949776023704</v>
      </c>
    </row>
    <row r="19" spans="1:19" ht="30" x14ac:dyDescent="0.25">
      <c r="A19" s="103"/>
      <c r="B19" s="19" t="s">
        <v>22</v>
      </c>
      <c r="C19" s="19">
        <v>0.97471410000000003</v>
      </c>
      <c r="D19" s="19">
        <v>0.97860000000000003</v>
      </c>
      <c r="E19" s="23">
        <f t="shared" ref="E19:E25" si="0">ABS((D19-C19)/(AVERAGE(C19,D19)))*100</f>
        <v>0.39787763780540958</v>
      </c>
      <c r="F19" s="26">
        <v>2</v>
      </c>
      <c r="G19" s="26">
        <v>1.9995972</v>
      </c>
      <c r="H19" s="26">
        <v>2</v>
      </c>
      <c r="I19" s="23">
        <f t="shared" ref="I19:I25" si="1">ABS((H19-G19)/(AVERAGE(G19,H19)))*100</f>
        <v>2.0142028302251858E-2</v>
      </c>
      <c r="J19" s="19">
        <v>2</v>
      </c>
      <c r="K19" s="19">
        <v>4.0094295000000004</v>
      </c>
      <c r="L19" s="23">
        <v>4</v>
      </c>
      <c r="M19" s="23">
        <f t="shared" ref="M19:M25" si="2">ABS((L19-K19)/(AVERAGE(K19,L19)))*100</f>
        <v>0.23545996628100474</v>
      </c>
      <c r="N19" s="125" t="s">
        <v>56</v>
      </c>
      <c r="O19" s="126">
        <f>0.6046-O18</f>
        <v>0.55745306999999999</v>
      </c>
      <c r="P19" s="26">
        <v>0.5504</v>
      </c>
      <c r="Q19" s="23">
        <f>ABS((P19-O19)/(AVERAGE(O19,P19)))*100</f>
        <v>1.2732861768393158</v>
      </c>
    </row>
    <row r="20" spans="1:19" x14ac:dyDescent="0.25">
      <c r="A20" s="103"/>
      <c r="B20" s="19" t="s">
        <v>23</v>
      </c>
      <c r="C20" s="19">
        <v>0.97471410000000003</v>
      </c>
      <c r="D20" s="19">
        <v>0.97860000000000003</v>
      </c>
      <c r="E20" s="23">
        <f t="shared" si="0"/>
        <v>0.39787763780540958</v>
      </c>
      <c r="F20" s="26">
        <v>3</v>
      </c>
      <c r="G20" s="26">
        <v>89.999989999999997</v>
      </c>
      <c r="H20" s="26">
        <v>90</v>
      </c>
      <c r="I20" s="23">
        <f t="shared" si="1"/>
        <v>1.1111111731921915E-5</v>
      </c>
      <c r="J20" s="19">
        <v>3</v>
      </c>
      <c r="K20" s="19">
        <v>14.627981</v>
      </c>
      <c r="L20" s="23">
        <v>16</v>
      </c>
      <c r="M20" s="23">
        <f t="shared" si="2"/>
        <v>8.9592519990135813</v>
      </c>
    </row>
    <row r="21" spans="1:19" x14ac:dyDescent="0.25">
      <c r="A21" s="103"/>
      <c r="B21" s="19" t="s">
        <v>24</v>
      </c>
      <c r="C21" s="19">
        <v>0.97471410000000003</v>
      </c>
      <c r="D21" s="19">
        <v>0.97860000000000003</v>
      </c>
      <c r="E21" s="23">
        <f t="shared" si="0"/>
        <v>0.39787763780540958</v>
      </c>
      <c r="F21" s="26">
        <v>4</v>
      </c>
      <c r="G21" s="26">
        <v>28.999994000000001</v>
      </c>
      <c r="H21" s="26">
        <v>34</v>
      </c>
      <c r="I21" s="23">
        <f t="shared" si="1"/>
        <v>15.873036432352672</v>
      </c>
      <c r="J21" s="19">
        <v>4</v>
      </c>
      <c r="K21" s="19">
        <v>14.618551999999999</v>
      </c>
      <c r="L21" s="23">
        <v>16</v>
      </c>
      <c r="M21" s="23">
        <f t="shared" si="2"/>
        <v>9.0236011160815224</v>
      </c>
    </row>
    <row r="22" spans="1:19" x14ac:dyDescent="0.25">
      <c r="A22" s="103"/>
      <c r="B22" s="19" t="s">
        <v>25</v>
      </c>
      <c r="C22" s="19">
        <v>0.49579786999999997</v>
      </c>
      <c r="D22" s="19">
        <v>0.50519999999999998</v>
      </c>
      <c r="E22" s="23">
        <f t="shared" si="0"/>
        <v>1.8785514498647251</v>
      </c>
      <c r="F22" s="26">
        <v>5</v>
      </c>
      <c r="G22" s="26">
        <v>31.999994000000001</v>
      </c>
      <c r="H22" s="26">
        <v>32</v>
      </c>
      <c r="I22" s="23">
        <f t="shared" si="1"/>
        <v>1.8750001754882388E-5</v>
      </c>
      <c r="J22" s="19">
        <v>5</v>
      </c>
      <c r="K22" s="19">
        <v>4</v>
      </c>
      <c r="L22" s="23">
        <v>4</v>
      </c>
      <c r="M22" s="23">
        <f t="shared" si="2"/>
        <v>0</v>
      </c>
    </row>
    <row r="23" spans="1:19" x14ac:dyDescent="0.25">
      <c r="A23" s="103"/>
      <c r="B23" s="19" t="s">
        <v>26</v>
      </c>
      <c r="C23" s="19">
        <v>0.49579786999999997</v>
      </c>
      <c r="D23" s="19">
        <v>0.50519999999999998</v>
      </c>
      <c r="E23" s="23">
        <f t="shared" si="0"/>
        <v>1.8785514498647251</v>
      </c>
      <c r="F23" s="26">
        <v>6</v>
      </c>
      <c r="G23" s="26">
        <v>32.520133999999999</v>
      </c>
      <c r="H23" s="26">
        <v>32.299999999999997</v>
      </c>
      <c r="I23" s="23">
        <f t="shared" si="1"/>
        <v>0.67921488715219758</v>
      </c>
      <c r="J23" s="19">
        <v>6</v>
      </c>
      <c r="K23" s="19">
        <v>14.627981</v>
      </c>
      <c r="L23" s="23">
        <v>16</v>
      </c>
      <c r="M23" s="23">
        <f t="shared" si="2"/>
        <v>8.9592519990135813</v>
      </c>
    </row>
    <row r="24" spans="1:19" x14ac:dyDescent="0.25">
      <c r="A24" s="103"/>
      <c r="B24" s="19" t="s">
        <v>27</v>
      </c>
      <c r="C24" s="19">
        <v>0.43339201999999999</v>
      </c>
      <c r="D24" s="19">
        <v>0.46250000000000002</v>
      </c>
      <c r="E24" s="23">
        <f t="shared" si="0"/>
        <v>6.4981000723725684</v>
      </c>
      <c r="F24" s="26">
        <v>7</v>
      </c>
      <c r="G24" s="26">
        <v>89.999989999999997</v>
      </c>
      <c r="H24" s="26">
        <v>90</v>
      </c>
      <c r="I24" s="23">
        <f t="shared" si="1"/>
        <v>1.1111111731921915E-5</v>
      </c>
      <c r="J24" s="19">
        <v>7</v>
      </c>
      <c r="K24" s="19">
        <v>14.627981</v>
      </c>
      <c r="L24" s="23">
        <v>16</v>
      </c>
      <c r="M24" s="23">
        <f t="shared" si="2"/>
        <v>8.9592519990135813</v>
      </c>
    </row>
    <row r="25" spans="1:19" ht="15.75" thickBot="1" x14ac:dyDescent="0.3">
      <c r="A25" s="104"/>
      <c r="B25" s="19" t="s">
        <v>28</v>
      </c>
      <c r="C25" s="19">
        <v>0.43339201999999999</v>
      </c>
      <c r="D25" s="19">
        <v>0.46250000000000002</v>
      </c>
      <c r="E25" s="23">
        <f t="shared" si="0"/>
        <v>6.4981000723725684</v>
      </c>
      <c r="F25" s="26">
        <v>8</v>
      </c>
      <c r="G25" s="26">
        <v>54.410179999999997</v>
      </c>
      <c r="H25" s="26">
        <v>51.08</v>
      </c>
      <c r="I25" s="23">
        <f t="shared" si="1"/>
        <v>6.313725125883753</v>
      </c>
      <c r="J25" s="19">
        <v>8</v>
      </c>
      <c r="K25" s="19">
        <v>4</v>
      </c>
      <c r="L25" s="23">
        <v>4</v>
      </c>
      <c r="M25" s="23">
        <f t="shared" si="2"/>
        <v>0</v>
      </c>
    </row>
    <row r="26" spans="1:19" ht="15.75" thickBot="1" x14ac:dyDescent="0.3">
      <c r="H26" s="14"/>
      <c r="S26" s="14"/>
    </row>
    <row r="27" spans="1:19" x14ac:dyDescent="0.25">
      <c r="B27" s="129" t="s">
        <v>53</v>
      </c>
      <c r="C27" s="130"/>
      <c r="D27" s="130"/>
      <c r="E27" s="131"/>
      <c r="H27" s="14"/>
    </row>
    <row r="28" spans="1:19" ht="15.75" thickBot="1" x14ac:dyDescent="0.3">
      <c r="B28" s="46" t="s">
        <v>30</v>
      </c>
      <c r="C28" s="119" t="s">
        <v>31</v>
      </c>
      <c r="D28" s="119" t="s">
        <v>32</v>
      </c>
      <c r="E28" s="48" t="s">
        <v>33</v>
      </c>
    </row>
    <row r="29" spans="1:19" x14ac:dyDescent="0.25">
      <c r="B29" s="37" t="s">
        <v>51</v>
      </c>
      <c r="C29" s="19">
        <v>65</v>
      </c>
      <c r="D29" s="19">
        <v>65.8</v>
      </c>
      <c r="E29" s="42">
        <f>ABS((D29-C29)/(AVERAGE(C29,D29)))*100</f>
        <v>1.2232415902140628</v>
      </c>
    </row>
    <row r="30" spans="1:19" x14ac:dyDescent="0.25">
      <c r="B30" s="19" t="s">
        <v>3</v>
      </c>
      <c r="C30" s="19">
        <v>44</v>
      </c>
      <c r="D30" s="19">
        <v>46.75</v>
      </c>
      <c r="E30" s="23">
        <f>ABS((D30-C30)/(AVERAGE(C30,D30)))*100</f>
        <v>6.0606060606060606</v>
      </c>
    </row>
    <row r="31" spans="1:19" x14ac:dyDescent="0.25">
      <c r="B31" s="19" t="s">
        <v>5</v>
      </c>
      <c r="C31" s="19">
        <v>179</v>
      </c>
      <c r="D31" s="19">
        <v>206</v>
      </c>
      <c r="E31" s="23">
        <f>ABS((D31-C31)/(AVERAGE(C31,D31)))*100</f>
        <v>14.025974025974024</v>
      </c>
    </row>
    <row r="32" spans="1:19" x14ac:dyDescent="0.25">
      <c r="B32" s="19" t="s">
        <v>52</v>
      </c>
      <c r="C32" s="19">
        <v>199</v>
      </c>
      <c r="D32" s="19">
        <v>223.7</v>
      </c>
      <c r="E32" s="23">
        <f>ABS((D32-C32)/(AVERAGE(C32,D32)))*100</f>
        <v>11.686775490891881</v>
      </c>
    </row>
  </sheetData>
  <mergeCells count="21">
    <mergeCell ref="B27:E27"/>
    <mergeCell ref="A16:A25"/>
    <mergeCell ref="B16:E16"/>
    <mergeCell ref="F16:I16"/>
    <mergeCell ref="J16:M16"/>
    <mergeCell ref="N16:Q16"/>
    <mergeCell ref="B10:B11"/>
    <mergeCell ref="C10:D10"/>
    <mergeCell ref="C11:D11"/>
    <mergeCell ref="B12:B13"/>
    <mergeCell ref="C12:D12"/>
    <mergeCell ref="C13:D13"/>
    <mergeCell ref="C3:D3"/>
    <mergeCell ref="H3:M4"/>
    <mergeCell ref="B4:B9"/>
    <mergeCell ref="C4:D4"/>
    <mergeCell ref="C5:D5"/>
    <mergeCell ref="C6:D6"/>
    <mergeCell ref="C7:D7"/>
    <mergeCell ref="C8:D8"/>
    <mergeCell ref="C9:D9"/>
  </mergeCells>
  <conditionalFormatting sqref="E18:E25">
    <cfRule type="cellIs" dxfId="29" priority="28" operator="equal">
      <formula>10</formula>
    </cfRule>
    <cfRule type="cellIs" dxfId="28" priority="29" operator="lessThan">
      <formula>10</formula>
    </cfRule>
    <cfRule type="cellIs" dxfId="27" priority="30" operator="greaterThan">
      <formula>10</formula>
    </cfRule>
  </conditionalFormatting>
  <conditionalFormatting sqref="E29:E32">
    <cfRule type="cellIs" dxfId="26" priority="13" operator="equal">
      <formula>10</formula>
    </cfRule>
    <cfRule type="cellIs" dxfId="25" priority="14" operator="lessThan">
      <formula>10</formula>
    </cfRule>
    <cfRule type="cellIs" dxfId="24" priority="15" operator="greaterThan">
      <formula>10</formula>
    </cfRule>
  </conditionalFormatting>
  <conditionalFormatting sqref="Q18:Q19">
    <cfRule type="cellIs" dxfId="14" priority="19" operator="equal">
      <formula>10</formula>
    </cfRule>
    <cfRule type="cellIs" dxfId="13" priority="20" operator="lessThan">
      <formula>10</formula>
    </cfRule>
    <cfRule type="cellIs" dxfId="12" priority="21" operator="greaterThan">
      <formula>10</formula>
    </cfRule>
  </conditionalFormatting>
  <conditionalFormatting sqref="I18:I25">
    <cfRule type="cellIs" dxfId="5" priority="4" operator="equal">
      <formula>10</formula>
    </cfRule>
    <cfRule type="cellIs" dxfId="4" priority="5" operator="lessThan">
      <formula>10</formula>
    </cfRule>
    <cfRule type="cellIs" dxfId="3" priority="6" operator="greaterThan">
      <formula>10</formula>
    </cfRule>
  </conditionalFormatting>
  <conditionalFormatting sqref="M18:M25">
    <cfRule type="cellIs" dxfId="2" priority="1" operator="equal">
      <formula>10</formula>
    </cfRule>
    <cfRule type="cellIs" dxfId="1" priority="2" operator="lessThan">
      <formula>10</formula>
    </cfRule>
    <cfRule type="cellIs" dxfId="0" priority="3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Steady State Vairable Mass Flow</vt:lpstr>
      <vt:lpstr>Unit Conversion</vt:lpstr>
      <vt:lpstr>Steady State Vairable Propertys</vt:lpstr>
      <vt:lpstr>Steady State TIL 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Magee, Colby</dc:creator>
  <cp:lastModifiedBy>Magee, Colby</cp:lastModifiedBy>
  <dcterms:created xsi:type="dcterms:W3CDTF">2026-09-23T15:35:43Z</dcterms:created>
  <dcterms:modified xsi:type="dcterms:W3CDTF">2026-10-20T23:51:56Z</dcterms:modified>
</cp:coreProperties>
</file>